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ão1" sheetId="1" r:id="rId4"/>
    <sheet state="visible" name="Versão2" sheetId="2" r:id="rId5"/>
    <sheet state="visible" name="Versão3" sheetId="3" r:id="rId6"/>
    <sheet state="visible" name="Versão4" sheetId="4" r:id="rId7"/>
    <sheet state="visible" name="Versão5" sheetId="5" r:id="rId8"/>
  </sheets>
  <definedNames/>
  <calcPr/>
</workbook>
</file>

<file path=xl/sharedStrings.xml><?xml version="1.0" encoding="utf-8"?>
<sst xmlns="http://schemas.openxmlformats.org/spreadsheetml/2006/main" count="448" uniqueCount="82">
  <si>
    <r>
      <t xml:space="preserve">
</t>
    </r>
    <r>
      <rPr>
        <rFont val="Roboto"/>
        <b/>
        <color rgb="FF000000"/>
        <sz val="10.0"/>
      </rPr>
      <t>ETAPA</t>
    </r>
  </si>
  <si>
    <t>TÍTULO DA TAREFA</t>
  </si>
  <si>
    <t>DATA DE INÍCIO</t>
  </si>
  <si>
    <t>DATA DE CONCLUSÃO</t>
  </si>
  <si>
    <t>DURAÇÃO (em semanas)</t>
  </si>
  <si>
    <t>TRIMESTRE  1</t>
  </si>
  <si>
    <t>TRIMESTRE 2</t>
  </si>
  <si>
    <t>TRIMESTRE 3</t>
  </si>
  <si>
    <t>TRIMESTRE 4</t>
  </si>
  <si>
    <t>TRIMESTRE  5</t>
  </si>
  <si>
    <t>TRIMESTRE 6</t>
  </si>
  <si>
    <t>TRIMESTRE 7</t>
  </si>
  <si>
    <t>TRIMESTRE 8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</si>
  <si>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</si>
  <si>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</si>
  <si>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</si>
  <si>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</si>
  <si>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</si>
  <si>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</si>
  <si>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</si>
  <si>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</si>
  <si>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</si>
  <si>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</si>
  <si>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</si>
  <si>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DESEMBRO</t>
  </si>
  <si>
    <t>Diagnóstico Inicial da Performance do Sistema</t>
  </si>
  <si>
    <t>Identificar Variáveis a Serem Monitoradas</t>
  </si>
  <si>
    <t>1.2</t>
  </si>
  <si>
    <t>Definição do Horário para Monitoramento</t>
  </si>
  <si>
    <t>Definição dos Tipos de Monitores</t>
  </si>
  <si>
    <t>Monitoramento do Tempo de Observação(To) e de Amostragem(Ts)</t>
  </si>
  <si>
    <t>Visualização e Análise dos Dados Coletados</t>
  </si>
  <si>
    <t>Análise de Horários Batch e On-line</t>
  </si>
  <si>
    <t>Identificação do Horário de Pico do Sistema Computacional</t>
  </si>
  <si>
    <t>Definição de To e Ts Utilizando os monitores de software</t>
  </si>
  <si>
    <t>Definição de períodos do dia</t>
  </si>
  <si>
    <t>Calcular a Utilização média por período do dia</t>
  </si>
  <si>
    <t>Identificar os horários de Pico</t>
  </si>
  <si>
    <t>Coleta de Dados do Consumo de Recursos por Processo</t>
  </si>
  <si>
    <t xml:space="preserve">Definir Variáveis qualitativas </t>
  </si>
  <si>
    <t>Definir Variáveis quantitativas</t>
  </si>
  <si>
    <t>Continuação do processo de monitoramento(para natureza de serviço)</t>
  </si>
  <si>
    <t>Seleção de Processos Críticos</t>
  </si>
  <si>
    <t>Análise e identificação de processos críticos</t>
  </si>
  <si>
    <t>Otimização do Sistema</t>
  </si>
  <si>
    <t>Re-codificação de programas</t>
  </si>
  <si>
    <t>Escalonamento do sistema</t>
  </si>
  <si>
    <t>Otimização de discos</t>
  </si>
  <si>
    <t>Meta Otimização</t>
  </si>
  <si>
    <t>Buscar por processos semelhantes(através de clusterização)</t>
  </si>
  <si>
    <t>Aplicar melhorias no grupos replicando ações nos processos semelhantes</t>
  </si>
  <si>
    <t>Previsão da Carga de Trabalho Futura</t>
  </si>
  <si>
    <t>7.1</t>
  </si>
  <si>
    <t>Obter dados de monitoramento</t>
  </si>
  <si>
    <t>7.2</t>
  </si>
  <si>
    <t>Construir e aplicar modelos de regressão linear</t>
  </si>
  <si>
    <t>Modelagem Matemática</t>
  </si>
  <si>
    <t>8.1</t>
  </si>
  <si>
    <t>Analisar variáveis</t>
  </si>
  <si>
    <t>8.2</t>
  </si>
  <si>
    <t>Construir o modelo matemático</t>
  </si>
  <si>
    <t>8.3</t>
  </si>
  <si>
    <t>Propor melhorias ao sistema</t>
  </si>
  <si>
    <t>Prever Início da Fase de Super-Utilização</t>
  </si>
  <si>
    <t>9.1</t>
  </si>
  <si>
    <t>Calcular a carga de saturação</t>
  </si>
  <si>
    <t>9.2</t>
  </si>
  <si>
    <t>Calcular o tempo para saturação</t>
  </si>
  <si>
    <t>Proposta de Nova Configuração</t>
  </si>
  <si>
    <t>10.1</t>
  </si>
  <si>
    <t>Propor nova configuração</t>
  </si>
  <si>
    <t>10.2</t>
  </si>
  <si>
    <t>Calcular vida útil com a nova configuração</t>
  </si>
  <si>
    <t xml:space="preserve">Negociação com Diretores e Fornecedores </t>
  </si>
  <si>
    <t>11.1</t>
  </si>
  <si>
    <t>Prepara o relatório Anual do Sistema atual</t>
  </si>
  <si>
    <t>11.2</t>
  </si>
  <si>
    <t>Negociar as alterações</t>
  </si>
  <si>
    <r>
      <t xml:space="preserve">
</t>
    </r>
    <r>
      <rPr>
        <rFont val="Roboto"/>
        <b/>
        <color rgb="FF000000"/>
        <sz val="10.0"/>
      </rPr>
      <t>ETAPA</t>
    </r>
  </si>
  <si>
    <r>
      <t xml:space="preserve">
</t>
    </r>
    <r>
      <rPr>
        <rFont val="Roboto"/>
        <b/>
        <color rgb="FF000000"/>
        <sz val="10.0"/>
      </rPr>
      <t>ETAPA</t>
    </r>
  </si>
  <si>
    <r>
      <t xml:space="preserve">
</t>
    </r>
    <r>
      <rPr>
        <rFont val="Roboto"/>
        <b/>
        <color rgb="FF000000"/>
        <sz val="10.0"/>
      </rPr>
      <t>ETAPA</t>
    </r>
  </si>
  <si>
    <r>
      <t xml:space="preserve">
</t>
    </r>
    <r>
      <rPr>
        <rFont val="Roboto"/>
        <b/>
        <color rgb="FF000000"/>
        <sz val="10.0"/>
      </rPr>
      <t>ETAPA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</si>
</sst>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&quot;$&quot;#,##0.00"/>
    <numFmt numFmtId="166" formatCode="d.m"/>
    <numFmt numFmtId="167" formatCode="dd&quot;/&quot;mm&quot;/&quot;yy"/>
    <numFmt numFmtId="168" formatCode="dd/mm/yyyy"/>
  </numFmts>
  <fonts count="14">
    <font>
      <sz val="10.0"/>
      <color rgb="FF000000"/>
      <name val="Arial"/>
    </font>
    <font>
      <b/>
      <sz val="8.0"/>
      <color rgb="FF000000"/>
      <name val="Roboto"/>
    </font>
    <font>
      <b/>
      <sz val="11.0"/>
      <color rgb="FF000000"/>
      <name val="Roboto"/>
    </font>
    <font>
      <b/>
      <sz val="10.0"/>
      <color rgb="FF000000"/>
      <name val="Roboto"/>
    </font>
    <font>
      <b/>
      <sz val="9.0"/>
      <color rgb="FFFFFFFF"/>
      <name val="Roboto"/>
    </font>
    <font/>
    <font>
      <b/>
      <sz val="9.0"/>
      <color rgb="FF000000"/>
      <name val="Roboto"/>
    </font>
    <font>
      <sz val="10.0"/>
      <color rgb="FF434343"/>
      <name val="Roboto"/>
    </font>
    <font>
      <b/>
      <sz val="10.0"/>
      <color rgb="FFC27BA0"/>
      <name val="Roboto"/>
    </font>
    <font>
      <color rgb="FF434343"/>
      <name val="Roboto"/>
    </font>
    <font>
      <name val="Arial"/>
    </font>
    <font>
      <b/>
      <sz val="10.0"/>
      <color rgb="FFA64D79"/>
      <name val="Roboto"/>
    </font>
    <font>
      <sz val="10.0"/>
      <color rgb="FF000000"/>
      <name val="Roboto"/>
    </font>
    <font>
      <color rgb="FFA64D79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</border>
    <border>
      <left style="hair">
        <color rgb="FFB7B7B7"/>
      </left>
      <right style="hair">
        <color rgb="FFB7B7B7"/>
      </right>
      <top style="hair">
        <color rgb="FFB7B7B7"/>
      </top>
    </border>
    <border>
      <bottom style="thin">
        <color rgb="FF434343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0"/>
    </xf>
    <xf borderId="1" fillId="4" fontId="4" numFmtId="0" xfId="0" applyAlignment="1" applyBorder="1" applyFill="1" applyFont="1">
      <alignment horizontal="center" readingOrder="0" shrinkToFit="0" vertical="center" wrapText="0"/>
    </xf>
    <xf borderId="1" fillId="5" fontId="4" numFmtId="0" xfId="0" applyAlignment="1" applyBorder="1" applyFill="1" applyFont="1">
      <alignment horizontal="center" readingOrder="0" shrinkToFit="0" vertical="center" wrapText="0"/>
    </xf>
    <xf borderId="1" fillId="6" fontId="4" numFmtId="0" xfId="0" applyAlignment="1" applyBorder="1" applyFill="1" applyFont="1">
      <alignment horizontal="center" readingOrder="0" shrinkToFit="0" vertical="center" wrapText="0"/>
    </xf>
    <xf borderId="2" fillId="0" fontId="5" numFmtId="0" xfId="0" applyBorder="1" applyFont="1"/>
    <xf borderId="3" fillId="7" fontId="4" numFmtId="0" xfId="0" applyAlignment="1" applyBorder="1" applyFill="1" applyFont="1">
      <alignment horizontal="center" readingOrder="0" shrinkToFit="0" vertical="center" wrapText="0"/>
    </xf>
    <xf borderId="4" fillId="0" fontId="5" numFmtId="0" xfId="0" applyBorder="1" applyFont="1"/>
    <xf borderId="5" fillId="0" fontId="5" numFmtId="0" xfId="0" applyBorder="1" applyFont="1"/>
    <xf borderId="3" fillId="8" fontId="4" numFmtId="0" xfId="0" applyAlignment="1" applyBorder="1" applyFill="1" applyFont="1">
      <alignment horizontal="center" readingOrder="0" shrinkToFit="0" vertical="center" wrapText="0"/>
    </xf>
    <xf borderId="3" fillId="9" fontId="4" numFmtId="0" xfId="0" applyAlignment="1" applyBorder="1" applyFill="1" applyFont="1">
      <alignment horizontal="center" readingOrder="0" shrinkToFit="0" vertical="center" wrapText="0"/>
    </xf>
    <xf borderId="3" fillId="10" fontId="4" numFmtId="0" xfId="0" applyAlignment="1" applyBorder="1" applyFill="1" applyFont="1">
      <alignment horizontal="center" readingOrder="0" shrinkToFit="0" vertical="center" wrapText="0"/>
    </xf>
    <xf borderId="0" fillId="2" fontId="5" numFmtId="0" xfId="0" applyFont="1"/>
    <xf borderId="0" fillId="2" fontId="5" numFmtId="164" xfId="0" applyFont="1" applyNumberFormat="1"/>
    <xf borderId="6" fillId="11" fontId="6" numFmtId="0" xfId="0" applyAlignment="1" applyBorder="1" applyFill="1" applyFont="1">
      <alignment horizontal="center" readingOrder="0"/>
    </xf>
    <xf borderId="6" fillId="11" fontId="6" numFmtId="0" xfId="0" applyAlignment="1" applyBorder="1" applyFont="1">
      <alignment horizontal="center"/>
    </xf>
    <xf borderId="6" fillId="12" fontId="6" numFmtId="0" xfId="0" applyAlignment="1" applyBorder="1" applyFill="1" applyFont="1">
      <alignment horizontal="center" readingOrder="0"/>
    </xf>
    <xf borderId="6" fillId="12" fontId="6" numFmtId="0" xfId="0" applyAlignment="1" applyBorder="1" applyFont="1">
      <alignment horizontal="center"/>
    </xf>
    <xf borderId="6" fillId="13" fontId="6" numFmtId="0" xfId="0" applyAlignment="1" applyBorder="1" applyFill="1" applyFont="1">
      <alignment horizontal="center" readingOrder="0"/>
    </xf>
    <xf borderId="6" fillId="13" fontId="6" numFmtId="0" xfId="0" applyAlignment="1" applyBorder="1" applyFont="1">
      <alignment horizontal="center"/>
    </xf>
    <xf borderId="6" fillId="14" fontId="6" numFmtId="0" xfId="0" applyAlignment="1" applyBorder="1" applyFill="1" applyFont="1">
      <alignment horizontal="center" readingOrder="0"/>
    </xf>
    <xf borderId="6" fillId="14" fontId="6" numFmtId="0" xfId="0" applyAlignment="1" applyBorder="1" applyFont="1">
      <alignment horizontal="center"/>
    </xf>
    <xf borderId="7" fillId="15" fontId="2" numFmtId="0" xfId="0" applyAlignment="1" applyBorder="1" applyFill="1" applyFont="1">
      <alignment horizontal="left" readingOrder="0" shrinkToFit="0" vertical="center" wrapText="1"/>
    </xf>
    <xf borderId="7" fillId="15" fontId="2" numFmtId="0" xfId="0" applyAlignment="1" applyBorder="1" applyFont="1">
      <alignment readingOrder="0" shrinkToFit="0" vertical="center" wrapText="0"/>
    </xf>
    <xf borderId="7" fillId="15" fontId="2" numFmtId="164" xfId="0" applyAlignment="1" applyBorder="1" applyFont="1" applyNumberFormat="1">
      <alignment readingOrder="0" shrinkToFit="0" vertical="center" wrapText="1"/>
    </xf>
    <xf borderId="7" fillId="15" fontId="2" numFmtId="0" xfId="0" applyAlignment="1" applyBorder="1" applyFont="1">
      <alignment readingOrder="0" shrinkToFit="0" vertical="center" wrapText="1"/>
    </xf>
    <xf borderId="0" fillId="15" fontId="2" numFmtId="0" xfId="0" applyAlignment="1" applyFont="1">
      <alignment horizontal="center" shrinkToFit="0" vertical="center" wrapText="0"/>
    </xf>
    <xf borderId="0" fillId="15" fontId="2" numFmtId="165" xfId="0" applyAlignment="1" applyFont="1" applyNumberFormat="1">
      <alignment horizontal="center" shrinkToFit="0" vertical="center" wrapText="0"/>
    </xf>
    <xf borderId="0" fillId="15" fontId="2" numFmtId="3" xfId="0" applyAlignment="1" applyFont="1" applyNumberFormat="1">
      <alignment horizontal="center" shrinkToFit="0" vertical="center" wrapText="0"/>
    </xf>
    <xf borderId="0" fillId="15" fontId="2" numFmtId="0" xfId="0" applyAlignment="1" applyFont="1">
      <alignment horizontal="center" shrinkToFit="0" vertical="center" wrapText="0"/>
    </xf>
    <xf borderId="8" fillId="0" fontId="7" numFmtId="166" xfId="0" applyAlignment="1" applyBorder="1" applyFont="1" applyNumberFormat="1">
      <alignment horizontal="left" readingOrder="0" shrinkToFit="0" vertical="center" wrapText="1"/>
    </xf>
    <xf borderId="8" fillId="0" fontId="7" numFmtId="0" xfId="0" applyAlignment="1" applyBorder="1" applyFont="1">
      <alignment readingOrder="0" shrinkToFit="0" vertical="center" wrapText="1"/>
    </xf>
    <xf borderId="8" fillId="0" fontId="7" numFmtId="167" xfId="0" applyAlignment="1" applyBorder="1" applyFont="1" applyNumberFormat="1">
      <alignment horizontal="left" readingOrder="0"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9" fillId="16" fontId="8" numFmtId="9" xfId="0" applyAlignment="1" applyBorder="1" applyFill="1" applyFont="1" applyNumberFormat="1">
      <alignment horizontal="center" shrinkToFit="0" vertical="center" wrapText="0"/>
    </xf>
    <xf borderId="10" fillId="0" fontId="3" numFmtId="165" xfId="0" applyAlignment="1" applyBorder="1" applyFont="1" applyNumberFormat="1">
      <alignment horizontal="center" shrinkToFit="0" vertical="center" wrapText="0"/>
    </xf>
    <xf borderId="10" fillId="0" fontId="3" numFmtId="0" xfId="0" applyAlignment="1" applyBorder="1" applyFont="1">
      <alignment horizontal="center" shrinkToFit="0" vertical="center" wrapText="0"/>
    </xf>
    <xf borderId="10" fillId="0" fontId="3" numFmtId="0" xfId="0" applyAlignment="1" applyBorder="1" applyFont="1">
      <alignment horizontal="center" shrinkToFit="0" vertical="center" wrapText="0"/>
    </xf>
    <xf borderId="9" fillId="0" fontId="3" numFmtId="9" xfId="0" applyAlignment="1" applyBorder="1" applyFont="1" applyNumberFormat="1">
      <alignment horizontal="center" shrinkToFit="0" vertical="center" wrapText="0"/>
    </xf>
    <xf borderId="8" fillId="0" fontId="7" numFmtId="49" xfId="0" applyAlignment="1" applyBorder="1" applyFont="1" applyNumberFormat="1">
      <alignment horizontal="left" readingOrder="0" shrinkToFit="0" vertical="center" wrapText="1"/>
    </xf>
    <xf borderId="11" fillId="0" fontId="3" numFmtId="165" xfId="0" applyAlignment="1" applyBorder="1" applyFont="1" applyNumberFormat="1">
      <alignment horizontal="center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12" fillId="0" fontId="3" numFmtId="9" xfId="0" applyAlignment="1" applyBorder="1" applyFont="1" applyNumberFormat="1">
      <alignment horizontal="center" shrinkToFit="0" vertical="center" wrapText="0"/>
    </xf>
    <xf borderId="11" fillId="16" fontId="3" numFmtId="165" xfId="0" applyAlignment="1" applyBorder="1" applyFont="1" applyNumberFormat="1">
      <alignment horizontal="center" shrinkToFit="0" vertical="center" wrapText="0"/>
    </xf>
    <xf borderId="11" fillId="17" fontId="3" numFmtId="165" xfId="0" applyAlignment="1" applyBorder="1" applyFill="1" applyFont="1" applyNumberFormat="1">
      <alignment horizontal="center" shrinkToFit="0" vertical="center" wrapText="0"/>
    </xf>
    <xf borderId="11" fillId="16" fontId="3" numFmtId="0" xfId="0" applyAlignment="1" applyBorder="1" applyFont="1">
      <alignment horizontal="center" shrinkToFit="0" vertical="center" wrapText="0"/>
    </xf>
    <xf borderId="0" fillId="0" fontId="7" numFmtId="166" xfId="0" applyAlignment="1" applyFont="1" applyNumberForma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7" xfId="0" applyAlignment="1" applyFont="1" applyNumberForma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3" fillId="0" fontId="3" numFmtId="9" xfId="0" applyAlignment="1" applyBorder="1" applyFont="1" applyNumberFormat="1">
      <alignment horizontal="center" shrinkToFit="0" vertical="center" wrapText="0"/>
    </xf>
    <xf borderId="14" fillId="16" fontId="3" numFmtId="0" xfId="0" applyAlignment="1" applyBorder="1" applyFont="1">
      <alignment horizontal="center" shrinkToFit="0" vertical="center" wrapText="0"/>
    </xf>
    <xf borderId="14" fillId="0" fontId="3" numFmtId="0" xfId="0" applyAlignment="1" applyBorder="1" applyFont="1">
      <alignment horizontal="center" shrinkToFit="0" vertical="center" wrapText="0"/>
    </xf>
    <xf borderId="14" fillId="0" fontId="3" numFmtId="165" xfId="0" applyAlignment="1" applyBorder="1" applyFont="1" applyNumberFormat="1">
      <alignment horizontal="center" shrinkToFit="0" vertical="center" wrapText="0"/>
    </xf>
    <xf borderId="0" fillId="15" fontId="2" numFmtId="0" xfId="0" applyAlignment="1" applyFont="1">
      <alignment readingOrder="0" shrinkToFit="0" vertical="center" wrapText="0"/>
    </xf>
    <xf borderId="8" fillId="0" fontId="7" numFmtId="168" xfId="0" applyAlignment="1" applyBorder="1" applyFont="1" applyNumberFormat="1">
      <alignment horizontal="left" readingOrder="0" shrinkToFit="0" vertical="center" wrapText="1"/>
    </xf>
    <xf borderId="15" fillId="0" fontId="7" numFmtId="0" xfId="0" applyAlignment="1" applyBorder="1" applyFont="1">
      <alignment horizontal="center" readingOrder="0" shrinkToFit="0" vertical="center" wrapText="1"/>
    </xf>
    <xf borderId="10" fillId="16" fontId="3" numFmtId="0" xfId="0" applyAlignment="1" applyBorder="1" applyFont="1">
      <alignment horizontal="center" shrinkToFit="0" vertical="center" wrapText="0"/>
    </xf>
    <xf borderId="12" fillId="16" fontId="3" numFmtId="9" xfId="0" applyAlignment="1" applyBorder="1" applyFont="1" applyNumberFormat="1">
      <alignment horizontal="center" shrinkToFit="0" vertical="center" wrapText="0"/>
    </xf>
    <xf borderId="11" fillId="16" fontId="3" numFmtId="0" xfId="0" applyAlignment="1" applyBorder="1" applyFont="1">
      <alignment horizontal="center" shrinkToFit="0" vertical="center" wrapText="0"/>
    </xf>
    <xf borderId="8" fillId="0" fontId="9" numFmtId="166" xfId="0" applyAlignment="1" applyBorder="1" applyFont="1" applyNumberFormat="1">
      <alignment horizontal="left" readingOrder="0" shrinkToFit="0" vertical="center" wrapText="1"/>
    </xf>
    <xf borderId="10" fillId="16" fontId="3" numFmtId="0" xfId="0" applyAlignment="1" applyBorder="1" applyFont="1">
      <alignment horizontal="center" shrinkToFit="0" vertical="center" wrapText="0"/>
    </xf>
    <xf borderId="8" fillId="0" fontId="9" numFmtId="166" xfId="0" applyAlignment="1" applyBorder="1" applyFont="1" applyNumberFormat="1">
      <alignment horizontal="left" readingOrder="0" shrinkToFit="0" wrapText="1"/>
    </xf>
    <xf borderId="8" fillId="0" fontId="9" numFmtId="0" xfId="0" applyAlignment="1" applyBorder="1" applyFont="1">
      <alignment readingOrder="0" shrinkToFit="0" wrapText="1"/>
    </xf>
    <xf borderId="8" fillId="0" fontId="9" numFmtId="0" xfId="0" applyAlignment="1" applyBorder="1" applyFont="1">
      <alignment horizontal="center" readingOrder="0" shrinkToFit="0" wrapText="1"/>
    </xf>
    <xf borderId="9" fillId="0" fontId="10" numFmtId="9" xfId="0" applyBorder="1" applyFont="1" applyNumberFormat="1"/>
    <xf borderId="10" fillId="0" fontId="10" numFmtId="165" xfId="0" applyBorder="1" applyFont="1" applyNumberFormat="1"/>
    <xf borderId="10" fillId="0" fontId="10" numFmtId="0" xfId="0" applyBorder="1" applyFont="1"/>
    <xf borderId="10" fillId="0" fontId="10" numFmtId="0" xfId="0" applyBorder="1" applyFont="1"/>
    <xf borderId="10" fillId="16" fontId="10" numFmtId="0" xfId="0" applyBorder="1" applyFont="1"/>
    <xf borderId="11" fillId="17" fontId="3" numFmtId="0" xfId="0" applyAlignment="1" applyBorder="1" applyFont="1">
      <alignment horizontal="center" shrinkToFit="0" vertical="center" wrapText="0"/>
    </xf>
    <xf borderId="11" fillId="17" fontId="11" numFmtId="0" xfId="0" applyAlignment="1" applyBorder="1" applyFont="1">
      <alignment horizontal="center" shrinkToFit="0" vertical="center" wrapText="0"/>
    </xf>
    <xf borderId="11" fillId="16" fontId="11" numFmtId="0" xfId="0" applyAlignment="1" applyBorder="1" applyFont="1">
      <alignment horizontal="center" shrinkToFit="0" vertical="center" wrapText="0"/>
    </xf>
    <xf borderId="11" fillId="16" fontId="12" numFmtId="0" xfId="0" applyAlignment="1" applyBorder="1" applyFont="1">
      <alignment horizontal="center" shrinkToFit="0" vertical="center" wrapText="0"/>
    </xf>
    <xf borderId="10" fillId="17" fontId="3" numFmtId="0" xfId="0" applyAlignment="1" applyBorder="1" applyFont="1">
      <alignment horizontal="center" shrinkToFit="0" vertical="center" wrapText="0"/>
    </xf>
    <xf borderId="10" fillId="17" fontId="3" numFmtId="0" xfId="0" applyAlignment="1" applyBorder="1" applyFont="1">
      <alignment horizontal="center" shrinkToFit="0" vertical="center" wrapText="0"/>
    </xf>
    <xf borderId="9" fillId="17" fontId="3" numFmtId="9" xfId="0" applyAlignment="1" applyBorder="1" applyFont="1" applyNumberFormat="1">
      <alignment horizontal="center" shrinkToFit="0" vertical="center" wrapText="0"/>
    </xf>
    <xf borderId="10" fillId="17" fontId="3" numFmtId="165" xfId="0" applyAlignment="1" applyBorder="1" applyFont="1" applyNumberFormat="1">
      <alignment horizontal="center" shrinkToFit="0" vertical="center" wrapText="0"/>
    </xf>
    <xf borderId="11" fillId="17" fontId="3" numFmtId="0" xfId="0" applyAlignment="1" applyBorder="1" applyFont="1">
      <alignment horizontal="center" shrinkToFit="0" vertical="center" wrapText="0"/>
    </xf>
    <xf borderId="12" fillId="17" fontId="3" numFmtId="9" xfId="0" applyAlignment="1" applyBorder="1" applyFont="1" applyNumberFormat="1">
      <alignment horizontal="center" shrinkToFit="0" vertical="center" wrapText="0"/>
    </xf>
    <xf borderId="8" fillId="0" fontId="9" numFmtId="0" xfId="0" applyAlignment="1" applyBorder="1" applyFont="1">
      <alignment horizontal="center" shrinkToFit="0" wrapText="1"/>
    </xf>
    <xf borderId="10" fillId="17" fontId="10" numFmtId="0" xfId="0" applyBorder="1" applyFont="1"/>
    <xf borderId="10" fillId="16" fontId="11" numFmtId="0" xfId="0" applyAlignment="1" applyBorder="1" applyFont="1">
      <alignment horizontal="center" shrinkToFit="0" vertical="center" wrapText="0"/>
    </xf>
    <xf borderId="10" fillId="16" fontId="13" numFmtId="0" xfId="0" applyBorder="1" applyFont="1"/>
    <xf borderId="9" fillId="16" fontId="10" numFmtId="9" xfId="0" applyBorder="1" applyFont="1" applyNumberFormat="1"/>
    <xf borderId="10" fillId="16" fontId="10" numFmtId="165" xfId="0" applyBorder="1" applyFont="1" applyNumberFormat="1"/>
    <xf borderId="10" fillId="16" fontId="10" numFmtId="0" xfId="0" applyBorder="1" applyFont="1"/>
    <xf borderId="11" fillId="17" fontId="1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11.13"/>
    <col customWidth="1" min="2" max="2" width="55.13"/>
    <col customWidth="1" min="3" max="3" width="10.5"/>
    <col customWidth="1" min="4" max="4" width="13.0"/>
    <col customWidth="1" min="5" max="5" width="11.63"/>
    <col customWidth="1" min="6" max="109" width="3.0"/>
  </cols>
  <sheetData>
    <row r="1" ht="17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S1" s="5" t="s">
        <v>6</v>
      </c>
      <c r="AF1" s="6" t="s">
        <v>7</v>
      </c>
      <c r="AS1" s="7" t="s">
        <v>8</v>
      </c>
      <c r="BE1" s="8"/>
      <c r="BF1" s="4" t="s">
        <v>9</v>
      </c>
      <c r="BS1" s="5" t="s">
        <v>10</v>
      </c>
      <c r="CF1" s="6" t="s">
        <v>11</v>
      </c>
      <c r="CS1" s="7" t="s">
        <v>12</v>
      </c>
      <c r="DE1" s="8"/>
    </row>
    <row r="2" ht="17.25" customHeight="1">
      <c r="F2" s="9" t="s">
        <v>13</v>
      </c>
      <c r="G2" s="10"/>
      <c r="H2" s="10"/>
      <c r="I2" s="11"/>
      <c r="J2" s="9" t="s">
        <v>14</v>
      </c>
      <c r="K2" s="10"/>
      <c r="L2" s="10"/>
      <c r="M2" s="11"/>
      <c r="N2" s="9" t="s">
        <v>15</v>
      </c>
      <c r="O2" s="10"/>
      <c r="P2" s="10"/>
      <c r="Q2" s="10"/>
      <c r="R2" s="11"/>
      <c r="S2" s="12" t="s">
        <v>16</v>
      </c>
      <c r="T2" s="10"/>
      <c r="U2" s="10"/>
      <c r="V2" s="11"/>
      <c r="W2" s="12" t="s">
        <v>17</v>
      </c>
      <c r="X2" s="10"/>
      <c r="Y2" s="10"/>
      <c r="Z2" s="11"/>
      <c r="AA2" s="12" t="s">
        <v>18</v>
      </c>
      <c r="AB2" s="10"/>
      <c r="AC2" s="10"/>
      <c r="AD2" s="10"/>
      <c r="AE2" s="11"/>
      <c r="AF2" s="13" t="s">
        <v>19</v>
      </c>
      <c r="AG2" s="10"/>
      <c r="AH2" s="10"/>
      <c r="AI2" s="11"/>
      <c r="AJ2" s="13" t="s">
        <v>20</v>
      </c>
      <c r="AK2" s="10"/>
      <c r="AL2" s="10"/>
      <c r="AM2" s="10"/>
      <c r="AN2" s="11"/>
      <c r="AO2" s="13" t="s">
        <v>21</v>
      </c>
      <c r="AP2" s="10"/>
      <c r="AQ2" s="10"/>
      <c r="AR2" s="11"/>
      <c r="AS2" s="14" t="s">
        <v>22</v>
      </c>
      <c r="AT2" s="10"/>
      <c r="AU2" s="10"/>
      <c r="AV2" s="11"/>
      <c r="AW2" s="14" t="s">
        <v>23</v>
      </c>
      <c r="AX2" s="10"/>
      <c r="AY2" s="10"/>
      <c r="AZ2" s="10"/>
      <c r="BA2" s="11"/>
      <c r="BB2" s="14" t="s">
        <v>24</v>
      </c>
      <c r="BC2" s="10"/>
      <c r="BD2" s="10"/>
      <c r="BE2" s="11"/>
      <c r="BF2" s="9" t="s">
        <v>13</v>
      </c>
      <c r="BG2" s="10"/>
      <c r="BH2" s="10"/>
      <c r="BI2" s="11"/>
      <c r="BJ2" s="9" t="s">
        <v>14</v>
      </c>
      <c r="BK2" s="10"/>
      <c r="BL2" s="10"/>
      <c r="BM2" s="11"/>
      <c r="BN2" s="9" t="s">
        <v>15</v>
      </c>
      <c r="BO2" s="10"/>
      <c r="BP2" s="10"/>
      <c r="BQ2" s="10"/>
      <c r="BR2" s="11"/>
      <c r="BS2" s="12" t="s">
        <v>16</v>
      </c>
      <c r="BT2" s="10"/>
      <c r="BU2" s="10"/>
      <c r="BV2" s="11"/>
      <c r="BW2" s="12" t="s">
        <v>17</v>
      </c>
      <c r="BX2" s="10"/>
      <c r="BY2" s="10"/>
      <c r="BZ2" s="10"/>
      <c r="CA2" s="11"/>
      <c r="CB2" s="12" t="s">
        <v>18</v>
      </c>
      <c r="CC2" s="10"/>
      <c r="CD2" s="10"/>
      <c r="CE2" s="11"/>
      <c r="CF2" s="13" t="s">
        <v>19</v>
      </c>
      <c r="CG2" s="10"/>
      <c r="CH2" s="10"/>
      <c r="CI2" s="11"/>
      <c r="CJ2" s="13" t="s">
        <v>20</v>
      </c>
      <c r="CK2" s="10"/>
      <c r="CL2" s="10"/>
      <c r="CM2" s="10"/>
      <c r="CN2" s="11"/>
      <c r="CO2" s="13" t="s">
        <v>21</v>
      </c>
      <c r="CP2" s="10"/>
      <c r="CQ2" s="10"/>
      <c r="CR2" s="11"/>
      <c r="CS2" s="14" t="s">
        <v>22</v>
      </c>
      <c r="CT2" s="10"/>
      <c r="CU2" s="10"/>
      <c r="CV2" s="11"/>
      <c r="CW2" s="14" t="s">
        <v>23</v>
      </c>
      <c r="CX2" s="10"/>
      <c r="CY2" s="10"/>
      <c r="CZ2" s="10"/>
      <c r="DA2" s="11"/>
      <c r="DB2" s="14" t="s">
        <v>24</v>
      </c>
      <c r="DC2" s="10"/>
      <c r="DD2" s="10"/>
      <c r="DE2" s="11"/>
    </row>
    <row r="3" ht="17.25" customHeight="1">
      <c r="A3" s="15"/>
      <c r="B3" s="15"/>
      <c r="C3" s="16"/>
      <c r="D3" s="16"/>
      <c r="E3" s="15"/>
      <c r="F3" s="17">
        <v>5.0</v>
      </c>
      <c r="G3" s="18">
        <f t="shared" ref="G3:I3" si="1">F3+7</f>
        <v>12</v>
      </c>
      <c r="H3" s="18">
        <f t="shared" si="1"/>
        <v>19</v>
      </c>
      <c r="I3" s="18">
        <f t="shared" si="1"/>
        <v>26</v>
      </c>
      <c r="J3" s="17">
        <v>2.0</v>
      </c>
      <c r="K3" s="18">
        <f t="shared" ref="K3:M3" si="2">J3+7</f>
        <v>9</v>
      </c>
      <c r="L3" s="18">
        <f t="shared" si="2"/>
        <v>16</v>
      </c>
      <c r="M3" s="18">
        <f t="shared" si="2"/>
        <v>23</v>
      </c>
      <c r="N3" s="17">
        <v>2.0</v>
      </c>
      <c r="O3" s="18">
        <f>N3+7</f>
        <v>9</v>
      </c>
      <c r="P3" s="18">
        <f t="shared" ref="P3:R3" si="3">INDEX(3:3,COLUMN()-1)+7</f>
        <v>16</v>
      </c>
      <c r="Q3" s="18">
        <f t="shared" si="3"/>
        <v>23</v>
      </c>
      <c r="R3" s="18">
        <f t="shared" si="3"/>
        <v>30</v>
      </c>
      <c r="S3" s="19">
        <v>6.0</v>
      </c>
      <c r="T3" s="20">
        <f t="shared" ref="T3:V3" si="4">INDEX(3:3,COLUMN()-1)+7</f>
        <v>13</v>
      </c>
      <c r="U3" s="20">
        <f t="shared" si="4"/>
        <v>20</v>
      </c>
      <c r="V3" s="20">
        <f t="shared" si="4"/>
        <v>27</v>
      </c>
      <c r="W3" s="19">
        <v>4.0</v>
      </c>
      <c r="X3" s="20">
        <f t="shared" ref="X3:Z3" si="5">INDEX(3:3,COLUMN()-1)+7</f>
        <v>11</v>
      </c>
      <c r="Y3" s="20">
        <f t="shared" si="5"/>
        <v>18</v>
      </c>
      <c r="Z3" s="20">
        <f t="shared" si="5"/>
        <v>25</v>
      </c>
      <c r="AA3" s="19">
        <v>1.0</v>
      </c>
      <c r="AB3" s="20">
        <f t="shared" ref="AB3:AE3" si="6">INDEX(3:3,COLUMN()-1)+7</f>
        <v>8</v>
      </c>
      <c r="AC3" s="20">
        <f t="shared" si="6"/>
        <v>15</v>
      </c>
      <c r="AD3" s="20">
        <f t="shared" si="6"/>
        <v>22</v>
      </c>
      <c r="AE3" s="20">
        <f t="shared" si="6"/>
        <v>29</v>
      </c>
      <c r="AF3" s="21">
        <v>6.0</v>
      </c>
      <c r="AG3" s="22">
        <f t="shared" ref="AG3:AI3" si="7">INDEX(3:3,COLUMN()-1)+7</f>
        <v>13</v>
      </c>
      <c r="AH3" s="22">
        <f t="shared" si="7"/>
        <v>20</v>
      </c>
      <c r="AI3" s="22">
        <f t="shared" si="7"/>
        <v>27</v>
      </c>
      <c r="AJ3" s="21">
        <v>3.0</v>
      </c>
      <c r="AK3" s="22">
        <f t="shared" ref="AK3:AN3" si="8">INDEX(3:3,COLUMN()-1)+7</f>
        <v>10</v>
      </c>
      <c r="AL3" s="22">
        <f t="shared" si="8"/>
        <v>17</v>
      </c>
      <c r="AM3" s="22">
        <f t="shared" si="8"/>
        <v>24</v>
      </c>
      <c r="AN3" s="22">
        <f t="shared" si="8"/>
        <v>31</v>
      </c>
      <c r="AO3" s="21">
        <v>7.0</v>
      </c>
      <c r="AP3" s="22">
        <f t="shared" ref="AP3:AR3" si="9">INDEX(3:3,COLUMN()-1)+7</f>
        <v>14</v>
      </c>
      <c r="AQ3" s="22">
        <f t="shared" si="9"/>
        <v>21</v>
      </c>
      <c r="AR3" s="22">
        <f t="shared" si="9"/>
        <v>28</v>
      </c>
      <c r="AS3" s="23">
        <v>5.0</v>
      </c>
      <c r="AT3" s="24">
        <f t="shared" ref="AT3:AV3" si="10">INDEX(3:3,COLUMN()-1)+7</f>
        <v>12</v>
      </c>
      <c r="AU3" s="24">
        <f t="shared" si="10"/>
        <v>19</v>
      </c>
      <c r="AV3" s="24">
        <f t="shared" si="10"/>
        <v>26</v>
      </c>
      <c r="AW3" s="23">
        <v>2.0</v>
      </c>
      <c r="AX3" s="24">
        <f t="shared" ref="AX3:BA3" si="11">INDEX(3:3,COLUMN()-1)+7</f>
        <v>9</v>
      </c>
      <c r="AY3" s="24">
        <f t="shared" si="11"/>
        <v>16</v>
      </c>
      <c r="AZ3" s="24">
        <f t="shared" si="11"/>
        <v>23</v>
      </c>
      <c r="BA3" s="24">
        <f t="shared" si="11"/>
        <v>30</v>
      </c>
      <c r="BB3" s="23">
        <v>7.0</v>
      </c>
      <c r="BC3" s="24">
        <f t="shared" ref="BC3:BE3" si="12">INDEX(3:3,COLUMN()-1)+7</f>
        <v>14</v>
      </c>
      <c r="BD3" s="24">
        <f t="shared" si="12"/>
        <v>21</v>
      </c>
      <c r="BE3" s="24">
        <f t="shared" si="12"/>
        <v>28</v>
      </c>
      <c r="BF3" s="17">
        <v>4.0</v>
      </c>
      <c r="BG3" s="18">
        <f t="shared" ref="BG3:BI3" si="13">BF3+7</f>
        <v>11</v>
      </c>
      <c r="BH3" s="18">
        <f t="shared" si="13"/>
        <v>18</v>
      </c>
      <c r="BI3" s="18">
        <f t="shared" si="13"/>
        <v>25</v>
      </c>
      <c r="BJ3" s="17">
        <v>1.0</v>
      </c>
      <c r="BK3" s="18">
        <f t="shared" ref="BK3:BM3" si="14">BJ3+7</f>
        <v>8</v>
      </c>
      <c r="BL3" s="18">
        <f t="shared" si="14"/>
        <v>15</v>
      </c>
      <c r="BM3" s="18">
        <f t="shared" si="14"/>
        <v>22</v>
      </c>
      <c r="BN3" s="17">
        <v>1.0</v>
      </c>
      <c r="BO3" s="18">
        <f>BN3+7</f>
        <v>8</v>
      </c>
      <c r="BP3" s="18">
        <f t="shared" ref="BP3:BR3" si="15">INDEX(3:3,COLUMN()-1)+7</f>
        <v>15</v>
      </c>
      <c r="BQ3" s="18">
        <f t="shared" si="15"/>
        <v>22</v>
      </c>
      <c r="BR3" s="18">
        <f t="shared" si="15"/>
        <v>29</v>
      </c>
      <c r="BS3" s="19">
        <v>6.0</v>
      </c>
      <c r="BT3" s="20">
        <f t="shared" ref="BT3:BV3" si="16">INDEX(3:3,COLUMN()-1)+7</f>
        <v>13</v>
      </c>
      <c r="BU3" s="20">
        <f t="shared" si="16"/>
        <v>20</v>
      </c>
      <c r="BV3" s="20">
        <f t="shared" si="16"/>
        <v>27</v>
      </c>
      <c r="BW3" s="19">
        <v>3.0</v>
      </c>
      <c r="BX3" s="20">
        <f t="shared" ref="BX3:CA3" si="17">INDEX(3:3,COLUMN()-1)+7</f>
        <v>10</v>
      </c>
      <c r="BY3" s="20">
        <f t="shared" si="17"/>
        <v>17</v>
      </c>
      <c r="BZ3" s="20">
        <f t="shared" si="17"/>
        <v>24</v>
      </c>
      <c r="CA3" s="20">
        <f t="shared" si="17"/>
        <v>31</v>
      </c>
      <c r="CB3" s="19">
        <v>7.0</v>
      </c>
      <c r="CC3" s="20">
        <f t="shared" ref="CC3:CE3" si="18">INDEX(3:3,COLUMN()-1)+7</f>
        <v>14</v>
      </c>
      <c r="CD3" s="20">
        <f t="shared" si="18"/>
        <v>21</v>
      </c>
      <c r="CE3" s="20">
        <f t="shared" si="18"/>
        <v>28</v>
      </c>
      <c r="CF3" s="21">
        <v>5.0</v>
      </c>
      <c r="CG3" s="22">
        <f t="shared" ref="CG3:CI3" si="19">INDEX(3:3,COLUMN()-1)+7</f>
        <v>12</v>
      </c>
      <c r="CH3" s="22">
        <f t="shared" si="19"/>
        <v>19</v>
      </c>
      <c r="CI3" s="22">
        <f t="shared" si="19"/>
        <v>26</v>
      </c>
      <c r="CJ3" s="21">
        <v>2.0</v>
      </c>
      <c r="CK3" s="22">
        <f t="shared" ref="CK3:CN3" si="20">INDEX(3:3,COLUMN()-1)+7</f>
        <v>9</v>
      </c>
      <c r="CL3" s="22">
        <f t="shared" si="20"/>
        <v>16</v>
      </c>
      <c r="CM3" s="22">
        <f t="shared" si="20"/>
        <v>23</v>
      </c>
      <c r="CN3" s="22">
        <f t="shared" si="20"/>
        <v>30</v>
      </c>
      <c r="CO3" s="21">
        <v>6.0</v>
      </c>
      <c r="CP3" s="22">
        <f t="shared" ref="CP3:CR3" si="21">INDEX(3:3,COLUMN()-1)+7</f>
        <v>13</v>
      </c>
      <c r="CQ3" s="22">
        <f t="shared" si="21"/>
        <v>20</v>
      </c>
      <c r="CR3" s="22">
        <f t="shared" si="21"/>
        <v>27</v>
      </c>
      <c r="CS3" s="23">
        <v>4.0</v>
      </c>
      <c r="CT3" s="24">
        <f t="shared" ref="CT3:CV3" si="22">INDEX(3:3,COLUMN()-1)+7</f>
        <v>11</v>
      </c>
      <c r="CU3" s="24">
        <f t="shared" si="22"/>
        <v>18</v>
      </c>
      <c r="CV3" s="24">
        <f t="shared" si="22"/>
        <v>25</v>
      </c>
      <c r="CW3" s="23">
        <v>1.0</v>
      </c>
      <c r="CX3" s="24">
        <f t="shared" ref="CX3:DA3" si="23">INDEX(3:3,COLUMN()-1)+7</f>
        <v>8</v>
      </c>
      <c r="CY3" s="24">
        <f t="shared" si="23"/>
        <v>15</v>
      </c>
      <c r="CZ3" s="24">
        <f t="shared" si="23"/>
        <v>22</v>
      </c>
      <c r="DA3" s="24">
        <f t="shared" si="23"/>
        <v>29</v>
      </c>
      <c r="DB3" s="23">
        <v>6.0</v>
      </c>
      <c r="DC3" s="24">
        <f t="shared" ref="DC3:DE3" si="24">INDEX(3:3,COLUMN()-1)+7</f>
        <v>13</v>
      </c>
      <c r="DD3" s="24">
        <f t="shared" si="24"/>
        <v>20</v>
      </c>
      <c r="DE3" s="24">
        <f t="shared" si="24"/>
        <v>27</v>
      </c>
    </row>
    <row r="4" ht="21.0" customHeight="1">
      <c r="A4" s="25">
        <v>1.0</v>
      </c>
      <c r="B4" s="26" t="s">
        <v>25</v>
      </c>
      <c r="C4" s="27"/>
      <c r="D4" s="27"/>
      <c r="E4" s="28"/>
      <c r="F4" s="29"/>
      <c r="G4" s="30"/>
      <c r="H4" s="31"/>
      <c r="I4" s="31"/>
      <c r="J4" s="29"/>
      <c r="K4" s="32"/>
      <c r="L4" s="29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29"/>
      <c r="BG4" s="30"/>
      <c r="BH4" s="31"/>
      <c r="BI4" s="31"/>
      <c r="BJ4" s="29"/>
      <c r="BK4" s="32"/>
      <c r="BL4" s="29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</row>
    <row r="5" ht="17.25" customHeight="1" outlineLevel="1">
      <c r="A5" s="33">
        <v>43101.0</v>
      </c>
      <c r="B5" s="34" t="s">
        <v>26</v>
      </c>
      <c r="C5" s="35">
        <v>46027.0</v>
      </c>
      <c r="D5" s="35">
        <v>46031.0</v>
      </c>
      <c r="E5" s="36">
        <v>1.0</v>
      </c>
      <c r="F5" s="37"/>
      <c r="G5" s="38"/>
      <c r="H5" s="39"/>
      <c r="I5" s="39"/>
      <c r="J5" s="39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1"/>
      <c r="BG5" s="38"/>
      <c r="BH5" s="39"/>
      <c r="BI5" s="39"/>
      <c r="BJ5" s="39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</row>
    <row r="6" ht="17.25" customHeight="1" outlineLevel="1">
      <c r="A6" s="42" t="s">
        <v>27</v>
      </c>
      <c r="B6" s="34" t="s">
        <v>28</v>
      </c>
      <c r="C6" s="35">
        <v>46027.0</v>
      </c>
      <c r="D6" s="35">
        <v>46031.0</v>
      </c>
      <c r="E6" s="36">
        <v>1.0</v>
      </c>
      <c r="F6" s="37"/>
      <c r="G6" s="43"/>
      <c r="H6" s="44"/>
      <c r="I6" s="44"/>
      <c r="J6" s="44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6"/>
      <c r="BG6" s="43"/>
      <c r="BH6" s="44"/>
      <c r="BI6" s="44"/>
      <c r="BJ6" s="44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</row>
    <row r="7" ht="17.25" customHeight="1" outlineLevel="1">
      <c r="A7" s="33">
        <v>43160.0</v>
      </c>
      <c r="B7" s="34" t="s">
        <v>29</v>
      </c>
      <c r="C7" s="35">
        <v>46027.0</v>
      </c>
      <c r="D7" s="35">
        <v>46031.0</v>
      </c>
      <c r="E7" s="36">
        <v>1.0</v>
      </c>
      <c r="F7" s="37"/>
      <c r="G7" s="43"/>
      <c r="H7" s="44"/>
      <c r="I7" s="44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6"/>
      <c r="BG7" s="43"/>
      <c r="BH7" s="44"/>
      <c r="BI7" s="44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</row>
    <row r="8" ht="17.25" customHeight="1" outlineLevel="1">
      <c r="A8" s="33">
        <v>43191.0</v>
      </c>
      <c r="B8" s="34" t="s">
        <v>30</v>
      </c>
      <c r="C8" s="35">
        <v>46027.0</v>
      </c>
      <c r="D8" s="35">
        <v>46038.0</v>
      </c>
      <c r="E8" s="36">
        <v>2.0</v>
      </c>
      <c r="F8" s="37"/>
      <c r="G8" s="47"/>
      <c r="H8" s="44"/>
      <c r="I8" s="44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6"/>
      <c r="BG8" s="43"/>
      <c r="BH8" s="44"/>
      <c r="BI8" s="44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</row>
    <row r="9" ht="17.25" customHeight="1" outlineLevel="1">
      <c r="A9" s="33">
        <v>43221.0</v>
      </c>
      <c r="B9" s="34" t="s">
        <v>31</v>
      </c>
      <c r="C9" s="35">
        <v>46041.0</v>
      </c>
      <c r="D9" s="35">
        <v>46045.0</v>
      </c>
      <c r="E9" s="36">
        <v>1.0</v>
      </c>
      <c r="F9" s="46"/>
      <c r="G9" s="48"/>
      <c r="H9" s="49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6"/>
      <c r="BG9" s="43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</row>
    <row r="10" ht="17.25" customHeight="1" outlineLevel="1">
      <c r="A10" s="50">
        <v>43252.0</v>
      </c>
      <c r="B10" s="51" t="s">
        <v>32</v>
      </c>
      <c r="C10" s="52">
        <v>46041.0</v>
      </c>
      <c r="D10" s="52">
        <v>46045.0</v>
      </c>
      <c r="E10" s="53">
        <v>1.0</v>
      </c>
      <c r="F10" s="54"/>
      <c r="G10" s="48"/>
      <c r="H10" s="55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4"/>
      <c r="BG10" s="57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</row>
    <row r="11" ht="21.0" customHeight="1">
      <c r="A11" s="25">
        <v>2.0</v>
      </c>
      <c r="B11" s="58" t="s">
        <v>33</v>
      </c>
      <c r="C11" s="27"/>
      <c r="D11" s="27"/>
      <c r="E11" s="28"/>
      <c r="F11" s="29"/>
      <c r="G11" s="30"/>
      <c r="H11" s="31"/>
      <c r="I11" s="31"/>
      <c r="J11" s="29"/>
      <c r="K11" s="32"/>
      <c r="L11" s="29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29"/>
      <c r="BG11" s="30"/>
      <c r="BH11" s="31"/>
      <c r="BI11" s="31"/>
      <c r="BJ11" s="29"/>
      <c r="BK11" s="32"/>
      <c r="BL11" s="29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</row>
    <row r="12" ht="17.25" customHeight="1" outlineLevel="1">
      <c r="A12" s="33">
        <v>46024.0</v>
      </c>
      <c r="B12" s="34" t="s">
        <v>34</v>
      </c>
      <c r="C12" s="59">
        <v>46048.0</v>
      </c>
      <c r="D12" s="35">
        <v>46052.0</v>
      </c>
      <c r="E12" s="60">
        <v>1.0</v>
      </c>
      <c r="F12" s="41"/>
      <c r="G12" s="38"/>
      <c r="H12" s="39"/>
      <c r="I12" s="61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1"/>
      <c r="BG12" s="38"/>
      <c r="BH12" s="39"/>
      <c r="BI12" s="39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</row>
    <row r="13" ht="17.25" customHeight="1" outlineLevel="1">
      <c r="A13" s="33">
        <v>46055.0</v>
      </c>
      <c r="B13" s="34" t="s">
        <v>35</v>
      </c>
      <c r="C13" s="35">
        <v>46055.0</v>
      </c>
      <c r="D13" s="35">
        <v>46420.0</v>
      </c>
      <c r="E13" s="36">
        <v>50.0</v>
      </c>
      <c r="F13" s="46"/>
      <c r="G13" s="43"/>
      <c r="H13" s="44"/>
      <c r="I13" s="44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62"/>
      <c r="BG13" s="47"/>
      <c r="BH13" s="63"/>
      <c r="BI13" s="63"/>
      <c r="BJ13" s="49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</row>
    <row r="14" ht="17.25" customHeight="1" outlineLevel="1">
      <c r="A14" s="33">
        <v>46083.0</v>
      </c>
      <c r="B14" s="34" t="s">
        <v>36</v>
      </c>
      <c r="C14" s="35">
        <v>46055.0</v>
      </c>
      <c r="D14" s="35">
        <v>46420.0</v>
      </c>
      <c r="E14" s="36">
        <v>50.0</v>
      </c>
      <c r="F14" s="46"/>
      <c r="G14" s="43"/>
      <c r="H14" s="44"/>
      <c r="I14" s="44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62"/>
      <c r="BG14" s="47"/>
      <c r="BH14" s="63"/>
      <c r="BI14" s="63"/>
      <c r="BJ14" s="49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</row>
    <row r="15" ht="17.25" customHeight="1" outlineLevel="1">
      <c r="A15" s="33">
        <v>43192.0</v>
      </c>
      <c r="B15" s="34" t="s">
        <v>37</v>
      </c>
      <c r="C15" s="35">
        <v>46055.0</v>
      </c>
      <c r="D15" s="35">
        <v>46420.0</v>
      </c>
      <c r="E15" s="36">
        <v>50.0</v>
      </c>
      <c r="F15" s="46"/>
      <c r="G15" s="43"/>
      <c r="H15" s="44"/>
      <c r="I15" s="44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62"/>
      <c r="BG15" s="47"/>
      <c r="BH15" s="63"/>
      <c r="BI15" s="63"/>
      <c r="BJ15" s="49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</row>
    <row r="16" ht="21.0" customHeight="1">
      <c r="A16" s="25">
        <v>3.0</v>
      </c>
      <c r="B16" s="26" t="s">
        <v>38</v>
      </c>
      <c r="C16" s="27"/>
      <c r="D16" s="27"/>
      <c r="E16" s="28"/>
      <c r="F16" s="29"/>
      <c r="G16" s="30"/>
      <c r="H16" s="31"/>
      <c r="I16" s="31"/>
      <c r="J16" s="29"/>
      <c r="K16" s="32"/>
      <c r="L16" s="29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29"/>
      <c r="BG16" s="30"/>
      <c r="BH16" s="31"/>
      <c r="BI16" s="31"/>
      <c r="BJ16" s="29"/>
      <c r="BK16" s="32"/>
      <c r="BL16" s="29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</row>
    <row r="17" ht="17.25" customHeight="1" outlineLevel="1">
      <c r="A17" s="64">
        <v>46025.0</v>
      </c>
      <c r="B17" s="34" t="s">
        <v>39</v>
      </c>
      <c r="C17" s="35">
        <v>43172.0</v>
      </c>
      <c r="D17" s="35">
        <v>43172.0</v>
      </c>
      <c r="E17" s="36">
        <v>1.0</v>
      </c>
      <c r="F17" s="41"/>
      <c r="G17" s="38"/>
      <c r="H17" s="39"/>
      <c r="I17" s="39"/>
      <c r="J17" s="49"/>
      <c r="K17" s="45"/>
      <c r="L17" s="45"/>
      <c r="M17" s="45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1"/>
      <c r="BG17" s="38"/>
      <c r="BH17" s="39"/>
      <c r="BI17" s="39"/>
      <c r="BJ17" s="45"/>
      <c r="BK17" s="45"/>
      <c r="BL17" s="45"/>
      <c r="BM17" s="45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</row>
    <row r="18" ht="17.25" customHeight="1" outlineLevel="1">
      <c r="A18" s="64">
        <v>46056.0</v>
      </c>
      <c r="B18" s="34" t="s">
        <v>40</v>
      </c>
      <c r="C18" s="35">
        <v>43173.0</v>
      </c>
      <c r="D18" s="35">
        <v>43173.0</v>
      </c>
      <c r="E18" s="36">
        <v>1.0</v>
      </c>
      <c r="F18" s="41"/>
      <c r="G18" s="38"/>
      <c r="H18" s="39"/>
      <c r="I18" s="39"/>
      <c r="J18" s="49"/>
      <c r="K18" s="45"/>
      <c r="L18" s="45"/>
      <c r="M18" s="45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1"/>
      <c r="BG18" s="38"/>
      <c r="BH18" s="39"/>
      <c r="BI18" s="39"/>
      <c r="BJ18" s="45"/>
      <c r="BK18" s="45"/>
      <c r="BL18" s="45"/>
      <c r="BM18" s="45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</row>
    <row r="19" ht="17.25" customHeight="1" outlineLevel="1">
      <c r="A19" s="64">
        <v>46084.0</v>
      </c>
      <c r="B19" s="34" t="s">
        <v>41</v>
      </c>
      <c r="C19" s="35">
        <v>43171.0</v>
      </c>
      <c r="D19" s="35">
        <v>43171.0</v>
      </c>
      <c r="E19" s="36">
        <v>50.0</v>
      </c>
      <c r="F19" s="46"/>
      <c r="G19" s="43"/>
      <c r="H19" s="44"/>
      <c r="I19" s="44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62"/>
      <c r="BG19" s="47"/>
      <c r="BH19" s="63"/>
      <c r="BI19" s="63"/>
      <c r="BJ19" s="49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</row>
    <row r="20" ht="21.0" customHeight="1">
      <c r="A20" s="25">
        <v>4.0</v>
      </c>
      <c r="B20" s="26" t="s">
        <v>42</v>
      </c>
      <c r="C20" s="27"/>
      <c r="D20" s="27"/>
      <c r="E20" s="28"/>
      <c r="F20" s="29"/>
      <c r="G20" s="30"/>
      <c r="H20" s="31"/>
      <c r="I20" s="31"/>
      <c r="J20" s="29"/>
      <c r="K20" s="32"/>
      <c r="L20" s="29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29"/>
      <c r="BG20" s="30"/>
      <c r="BH20" s="31"/>
      <c r="BI20" s="31"/>
      <c r="BJ20" s="29"/>
      <c r="BK20" s="32"/>
      <c r="BL20" s="29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</row>
    <row r="21" ht="17.25" customHeight="1" outlineLevel="1">
      <c r="A21" s="33">
        <v>43104.0</v>
      </c>
      <c r="B21" s="34" t="s">
        <v>43</v>
      </c>
      <c r="C21" s="35">
        <v>43171.0</v>
      </c>
      <c r="D21" s="35">
        <v>43171.0</v>
      </c>
      <c r="E21" s="36">
        <v>1.0</v>
      </c>
      <c r="F21" s="41"/>
      <c r="G21" s="38"/>
      <c r="H21" s="39"/>
      <c r="I21" s="39"/>
      <c r="J21" s="40"/>
      <c r="K21" s="65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1"/>
      <c r="BG21" s="38"/>
      <c r="BH21" s="39"/>
      <c r="BI21" s="39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</row>
    <row r="22" ht="21.0" customHeight="1">
      <c r="A22" s="25">
        <v>5.0</v>
      </c>
      <c r="B22" s="26" t="s">
        <v>44</v>
      </c>
      <c r="C22" s="27"/>
      <c r="D22" s="27"/>
      <c r="E22" s="28"/>
      <c r="F22" s="29"/>
      <c r="G22" s="30"/>
      <c r="H22" s="31"/>
      <c r="I22" s="31"/>
      <c r="J22" s="29"/>
      <c r="K22" s="32"/>
      <c r="L22" s="29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29"/>
      <c r="BG22" s="30"/>
      <c r="BH22" s="31"/>
      <c r="BI22" s="31"/>
      <c r="BJ22" s="29"/>
      <c r="BK22" s="32"/>
      <c r="BL22" s="29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</row>
    <row r="23" ht="17.25" customHeight="1" outlineLevel="1">
      <c r="A23" s="33">
        <v>46027.0</v>
      </c>
      <c r="B23" s="34" t="s">
        <v>45</v>
      </c>
      <c r="C23" s="35">
        <v>43171.0</v>
      </c>
      <c r="D23" s="35">
        <v>43171.0</v>
      </c>
      <c r="E23" s="36">
        <v>8.0</v>
      </c>
      <c r="F23" s="41"/>
      <c r="G23" s="38"/>
      <c r="H23" s="39"/>
      <c r="I23" s="39"/>
      <c r="J23" s="40"/>
      <c r="K23" s="40"/>
      <c r="L23" s="65"/>
      <c r="M23" s="65"/>
      <c r="N23" s="65"/>
      <c r="O23" s="65"/>
      <c r="P23" s="65"/>
      <c r="Q23" s="65"/>
      <c r="R23" s="65"/>
      <c r="S23" s="65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1"/>
      <c r="BG23" s="38"/>
      <c r="BH23" s="39"/>
      <c r="BI23" s="39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</row>
    <row r="24" ht="17.25" customHeight="1" outlineLevel="1">
      <c r="A24" s="66">
        <v>46058.0</v>
      </c>
      <c r="B24" s="67" t="s">
        <v>46</v>
      </c>
      <c r="C24" s="35">
        <v>43171.0</v>
      </c>
      <c r="D24" s="35">
        <v>43171.0</v>
      </c>
      <c r="E24" s="68">
        <v>8.0</v>
      </c>
      <c r="F24" s="69"/>
      <c r="G24" s="70"/>
      <c r="H24" s="71"/>
      <c r="I24" s="71"/>
      <c r="J24" s="72"/>
      <c r="K24" s="72"/>
      <c r="L24" s="73"/>
      <c r="M24" s="73"/>
      <c r="N24" s="73"/>
      <c r="O24" s="73"/>
      <c r="P24" s="73"/>
      <c r="Q24" s="73"/>
      <c r="R24" s="73"/>
      <c r="S24" s="73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69"/>
      <c r="BG24" s="70"/>
      <c r="BH24" s="71"/>
      <c r="BI24" s="71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2"/>
      <c r="CW24" s="72"/>
      <c r="CX24" s="72"/>
      <c r="CY24" s="72"/>
      <c r="CZ24" s="72"/>
      <c r="DA24" s="72"/>
      <c r="DB24" s="72"/>
      <c r="DC24" s="72"/>
      <c r="DD24" s="72"/>
      <c r="DE24" s="72"/>
    </row>
    <row r="25" ht="17.25" customHeight="1" outlineLevel="1">
      <c r="A25" s="66">
        <v>46086.0</v>
      </c>
      <c r="B25" s="67" t="s">
        <v>47</v>
      </c>
      <c r="C25" s="35">
        <v>43171.0</v>
      </c>
      <c r="D25" s="35">
        <v>43171.0</v>
      </c>
      <c r="E25" s="36">
        <v>8.0</v>
      </c>
      <c r="F25" s="69"/>
      <c r="G25" s="70"/>
      <c r="H25" s="71"/>
      <c r="I25" s="71"/>
      <c r="J25" s="72"/>
      <c r="K25" s="72"/>
      <c r="L25" s="73"/>
      <c r="M25" s="73"/>
      <c r="N25" s="73"/>
      <c r="O25" s="73"/>
      <c r="P25" s="73"/>
      <c r="Q25" s="73"/>
      <c r="R25" s="73"/>
      <c r="S25" s="73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69"/>
      <c r="BG25" s="70"/>
      <c r="BH25" s="71"/>
      <c r="BI25" s="71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72"/>
      <c r="DC25" s="72"/>
      <c r="DD25" s="72"/>
      <c r="DE25" s="72"/>
    </row>
    <row r="26" ht="21.0" customHeight="1">
      <c r="A26" s="25">
        <v>6.0</v>
      </c>
      <c r="B26" s="26" t="s">
        <v>48</v>
      </c>
      <c r="C26" s="27"/>
      <c r="D26" s="27"/>
      <c r="E26" s="28"/>
      <c r="F26" s="29"/>
      <c r="G26" s="30"/>
      <c r="H26" s="31"/>
      <c r="I26" s="31"/>
      <c r="J26" s="29"/>
      <c r="K26" s="32"/>
      <c r="L26" s="29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29"/>
      <c r="BG26" s="30"/>
      <c r="BH26" s="31"/>
      <c r="BI26" s="31"/>
      <c r="BJ26" s="29"/>
      <c r="BK26" s="32"/>
      <c r="BL26" s="29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</row>
    <row r="27" ht="17.25" customHeight="1" outlineLevel="1">
      <c r="A27" s="33">
        <v>46028.0</v>
      </c>
      <c r="B27" s="34" t="s">
        <v>49</v>
      </c>
      <c r="C27" s="35">
        <v>43171.0</v>
      </c>
      <c r="D27" s="35">
        <v>43171.0</v>
      </c>
      <c r="E27" s="36">
        <v>0.0</v>
      </c>
      <c r="F27" s="41"/>
      <c r="G27" s="38"/>
      <c r="H27" s="39"/>
      <c r="I27" s="39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65"/>
      <c r="U27" s="65"/>
      <c r="V27" s="65"/>
      <c r="W27" s="65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1"/>
      <c r="BG27" s="38"/>
      <c r="BH27" s="39"/>
      <c r="BI27" s="39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</row>
    <row r="28" ht="17.25" customHeight="1" outlineLevel="1">
      <c r="A28" s="33">
        <v>46059.0</v>
      </c>
      <c r="B28" s="34" t="s">
        <v>50</v>
      </c>
      <c r="C28" s="35">
        <v>43171.0</v>
      </c>
      <c r="D28" s="35">
        <v>43171.0</v>
      </c>
      <c r="E28" s="36">
        <v>0.0</v>
      </c>
      <c r="F28" s="41"/>
      <c r="G28" s="38"/>
      <c r="H28" s="39"/>
      <c r="I28" s="39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65"/>
      <c r="U28" s="65"/>
      <c r="V28" s="65"/>
      <c r="W28" s="65"/>
      <c r="X28" s="65"/>
      <c r="Y28" s="65"/>
      <c r="Z28" s="65"/>
      <c r="AA28" s="65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1"/>
      <c r="BG28" s="38"/>
      <c r="BH28" s="39"/>
      <c r="BI28" s="39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</row>
    <row r="29" ht="21.0" customHeight="1">
      <c r="A29" s="25">
        <v>7.0</v>
      </c>
      <c r="B29" s="26" t="s">
        <v>51</v>
      </c>
      <c r="C29" s="27"/>
      <c r="D29" s="27"/>
      <c r="E29" s="28"/>
      <c r="F29" s="29"/>
      <c r="G29" s="30"/>
      <c r="H29" s="31"/>
      <c r="I29" s="31"/>
      <c r="J29" s="29"/>
      <c r="K29" s="32"/>
      <c r="L29" s="29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29"/>
      <c r="BG29" s="30"/>
      <c r="BH29" s="31"/>
      <c r="BI29" s="31"/>
      <c r="BJ29" s="29"/>
      <c r="BK29" s="32"/>
      <c r="BL29" s="29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</row>
    <row r="30" ht="17.25" customHeight="1" outlineLevel="1">
      <c r="A30" s="42" t="s">
        <v>52</v>
      </c>
      <c r="B30" s="34" t="s">
        <v>53</v>
      </c>
      <c r="C30" s="35">
        <v>43174.0</v>
      </c>
      <c r="D30" s="35">
        <v>43175.0</v>
      </c>
      <c r="E30" s="36">
        <v>0.0</v>
      </c>
      <c r="F30" s="46"/>
      <c r="G30" s="43"/>
      <c r="H30" s="44"/>
      <c r="I30" s="44"/>
      <c r="J30" s="44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74"/>
      <c r="AA30" s="74"/>
      <c r="AB30" s="74"/>
      <c r="AC30" s="74"/>
      <c r="AD30" s="74"/>
      <c r="AE30" s="74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6"/>
      <c r="BG30" s="43"/>
      <c r="BH30" s="44"/>
      <c r="BI30" s="44"/>
      <c r="BJ30" s="44"/>
      <c r="BK30" s="49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</row>
    <row r="31" ht="17.25" customHeight="1" outlineLevel="1">
      <c r="A31" s="42" t="s">
        <v>54</v>
      </c>
      <c r="B31" s="34" t="s">
        <v>55</v>
      </c>
      <c r="C31" s="35">
        <v>43174.0</v>
      </c>
      <c r="D31" s="35">
        <v>43175.0</v>
      </c>
      <c r="E31" s="36">
        <v>0.0</v>
      </c>
      <c r="F31" s="46"/>
      <c r="G31" s="43"/>
      <c r="H31" s="44"/>
      <c r="I31" s="44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74"/>
      <c r="AA31" s="74"/>
      <c r="AB31" s="74"/>
      <c r="AC31" s="75"/>
      <c r="AD31" s="74"/>
      <c r="AE31" s="74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6"/>
      <c r="BG31" s="43"/>
      <c r="BH31" s="44"/>
      <c r="BI31" s="44"/>
      <c r="BJ31" s="44"/>
      <c r="BK31" s="45"/>
      <c r="BL31" s="76"/>
      <c r="BM31" s="76"/>
      <c r="BN31" s="76"/>
      <c r="BO31" s="76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</row>
    <row r="32" ht="21.0" customHeight="1">
      <c r="A32" s="25">
        <v>8.0</v>
      </c>
      <c r="B32" s="26" t="s">
        <v>56</v>
      </c>
      <c r="C32" s="27"/>
      <c r="D32" s="27"/>
      <c r="E32" s="28"/>
      <c r="F32" s="29"/>
      <c r="G32" s="30"/>
      <c r="H32" s="31"/>
      <c r="I32" s="31"/>
      <c r="J32" s="29"/>
      <c r="K32" s="32"/>
      <c r="L32" s="29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29"/>
      <c r="BG32" s="30"/>
      <c r="BH32" s="31"/>
      <c r="BI32" s="31"/>
      <c r="BJ32" s="29"/>
      <c r="BK32" s="32"/>
      <c r="BL32" s="29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</row>
    <row r="33" ht="17.25" customHeight="1" outlineLevel="1">
      <c r="A33" s="42" t="s">
        <v>57</v>
      </c>
      <c r="B33" s="34" t="s">
        <v>58</v>
      </c>
      <c r="C33" s="35">
        <v>43174.0</v>
      </c>
      <c r="D33" s="35">
        <v>43175.0</v>
      </c>
      <c r="E33" s="36">
        <v>0.0</v>
      </c>
      <c r="F33" s="46"/>
      <c r="G33" s="43"/>
      <c r="H33" s="44"/>
      <c r="I33" s="44"/>
      <c r="J33" s="44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6"/>
      <c r="BG33" s="43"/>
      <c r="BH33" s="44"/>
      <c r="BI33" s="44"/>
      <c r="BJ33" s="44"/>
      <c r="BK33" s="49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</row>
    <row r="34" ht="17.25" customHeight="1" outlineLevel="1">
      <c r="A34" s="42" t="s">
        <v>59</v>
      </c>
      <c r="B34" s="34" t="s">
        <v>60</v>
      </c>
      <c r="C34" s="35">
        <v>43174.0</v>
      </c>
      <c r="D34" s="35">
        <v>43175.0</v>
      </c>
      <c r="E34" s="36">
        <v>0.0</v>
      </c>
      <c r="F34" s="46"/>
      <c r="G34" s="43"/>
      <c r="H34" s="44"/>
      <c r="I34" s="44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6"/>
      <c r="BG34" s="43"/>
      <c r="BH34" s="44"/>
      <c r="BI34" s="44"/>
      <c r="BJ34" s="44"/>
      <c r="BK34" s="45"/>
      <c r="BL34" s="49"/>
      <c r="BM34" s="49"/>
      <c r="BN34" s="49"/>
      <c r="BO34" s="49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</row>
    <row r="35" ht="17.25" customHeight="1" outlineLevel="1">
      <c r="A35" s="42" t="s">
        <v>61</v>
      </c>
      <c r="B35" s="34" t="s">
        <v>62</v>
      </c>
      <c r="C35" s="35">
        <v>43174.0</v>
      </c>
      <c r="D35" s="35">
        <v>43175.0</v>
      </c>
      <c r="E35" s="36">
        <v>0.0</v>
      </c>
      <c r="F35" s="46"/>
      <c r="G35" s="43"/>
      <c r="H35" s="44"/>
      <c r="I35" s="44"/>
      <c r="J35" s="44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6"/>
      <c r="BG35" s="43"/>
      <c r="BH35" s="44"/>
      <c r="BI35" s="44"/>
      <c r="BJ35" s="44"/>
      <c r="BK35" s="45"/>
      <c r="BL35" s="49"/>
      <c r="BM35" s="49"/>
      <c r="BN35" s="49"/>
      <c r="BO35" s="49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</row>
    <row r="36" ht="21.0" customHeight="1">
      <c r="A36" s="25">
        <v>9.0</v>
      </c>
      <c r="B36" s="26" t="s">
        <v>63</v>
      </c>
      <c r="C36" s="27"/>
      <c r="D36" s="27"/>
      <c r="E36" s="28"/>
      <c r="F36" s="29"/>
      <c r="G36" s="30"/>
      <c r="H36" s="31"/>
      <c r="I36" s="31"/>
      <c r="J36" s="29"/>
      <c r="K36" s="32"/>
      <c r="L36" s="29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29"/>
      <c r="BG36" s="30"/>
      <c r="BH36" s="31"/>
      <c r="BI36" s="31"/>
      <c r="BJ36" s="29"/>
      <c r="BK36" s="32"/>
      <c r="BL36" s="29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</row>
    <row r="37" ht="17.25" customHeight="1" outlineLevel="1">
      <c r="A37" s="42" t="s">
        <v>64</v>
      </c>
      <c r="B37" s="34" t="s">
        <v>65</v>
      </c>
      <c r="C37" s="35">
        <v>43174.0</v>
      </c>
      <c r="D37" s="35">
        <v>43175.0</v>
      </c>
      <c r="E37" s="36">
        <v>0.0</v>
      </c>
      <c r="F37" s="46"/>
      <c r="G37" s="43"/>
      <c r="H37" s="44"/>
      <c r="I37" s="44"/>
      <c r="J37" s="44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6"/>
      <c r="BG37" s="43"/>
      <c r="BH37" s="44"/>
      <c r="BI37" s="44"/>
      <c r="BJ37" s="44"/>
      <c r="BK37" s="45"/>
      <c r="BL37" s="45"/>
      <c r="BM37" s="45"/>
      <c r="BN37" s="45"/>
      <c r="BO37" s="45"/>
      <c r="BP37" s="77"/>
      <c r="BQ37" s="77"/>
      <c r="BR37" s="77"/>
      <c r="BS37" s="77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</row>
    <row r="38" ht="17.25" customHeight="1" outlineLevel="1">
      <c r="A38" s="42" t="s">
        <v>66</v>
      </c>
      <c r="B38" s="34" t="s">
        <v>67</v>
      </c>
      <c r="C38" s="35">
        <v>43174.0</v>
      </c>
      <c r="D38" s="35">
        <v>43175.0</v>
      </c>
      <c r="E38" s="36">
        <v>0.0</v>
      </c>
      <c r="F38" s="46"/>
      <c r="G38" s="43"/>
      <c r="H38" s="44"/>
      <c r="I38" s="44"/>
      <c r="J38" s="44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6"/>
      <c r="BG38" s="43"/>
      <c r="BH38" s="44"/>
      <c r="BI38" s="44"/>
      <c r="BJ38" s="44"/>
      <c r="BK38" s="45"/>
      <c r="BL38" s="45"/>
      <c r="BM38" s="45"/>
      <c r="BN38" s="45"/>
      <c r="BO38" s="45"/>
      <c r="BP38" s="77"/>
      <c r="BQ38" s="77"/>
      <c r="BR38" s="77"/>
      <c r="BS38" s="77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  <c r="CP38" s="45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</row>
    <row r="39" ht="21.0" customHeight="1">
      <c r="A39" s="25">
        <v>10.0</v>
      </c>
      <c r="B39" s="26" t="s">
        <v>68</v>
      </c>
      <c r="C39" s="27"/>
      <c r="D39" s="27"/>
      <c r="E39" s="28"/>
      <c r="F39" s="29"/>
      <c r="G39" s="30"/>
      <c r="H39" s="31"/>
      <c r="I39" s="31"/>
      <c r="J39" s="29"/>
      <c r="K39" s="32"/>
      <c r="L39" s="29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29"/>
      <c r="BG39" s="30"/>
      <c r="BH39" s="31"/>
      <c r="BI39" s="31"/>
      <c r="BJ39" s="29"/>
      <c r="BK39" s="32"/>
      <c r="BL39" s="29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</row>
    <row r="40" ht="17.25" customHeight="1" outlineLevel="1">
      <c r="A40" s="42" t="s">
        <v>69</v>
      </c>
      <c r="B40" s="34" t="s">
        <v>70</v>
      </c>
      <c r="C40" s="35">
        <v>43174.0</v>
      </c>
      <c r="D40" s="35">
        <v>43175.0</v>
      </c>
      <c r="E40" s="36">
        <v>0.0</v>
      </c>
      <c r="F40" s="46"/>
      <c r="G40" s="43"/>
      <c r="H40" s="44"/>
      <c r="I40" s="44"/>
      <c r="J40" s="44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6"/>
      <c r="BG40" s="43"/>
      <c r="BH40" s="44"/>
      <c r="BI40" s="44"/>
      <c r="BJ40" s="44"/>
      <c r="BK40" s="45"/>
      <c r="BL40" s="45"/>
      <c r="BM40" s="45"/>
      <c r="BN40" s="45"/>
      <c r="BO40" s="45"/>
      <c r="BP40" s="45"/>
      <c r="BQ40" s="45"/>
      <c r="BR40" s="45"/>
      <c r="BS40" s="45"/>
      <c r="BT40" s="49"/>
      <c r="BU40" s="49"/>
      <c r="BV40" s="49"/>
      <c r="BW40" s="49"/>
      <c r="BX40" s="49"/>
      <c r="BY40" s="49"/>
      <c r="BZ40" s="49"/>
      <c r="CA40" s="49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  <c r="CX40" s="45"/>
      <c r="CY40" s="45"/>
      <c r="CZ40" s="45"/>
      <c r="DA40" s="45"/>
      <c r="DB40" s="45"/>
      <c r="DC40" s="45"/>
      <c r="DD40" s="45"/>
      <c r="DE40" s="45"/>
    </row>
    <row r="41" ht="17.25" customHeight="1" outlineLevel="1">
      <c r="A41" s="42" t="s">
        <v>71</v>
      </c>
      <c r="B41" s="34" t="s">
        <v>72</v>
      </c>
      <c r="C41" s="35">
        <v>43174.0</v>
      </c>
      <c r="D41" s="35">
        <v>43175.0</v>
      </c>
      <c r="E41" s="36">
        <v>0.0</v>
      </c>
      <c r="F41" s="46"/>
      <c r="G41" s="43"/>
      <c r="H41" s="44"/>
      <c r="I41" s="44"/>
      <c r="J41" s="44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6"/>
      <c r="BG41" s="43"/>
      <c r="BH41" s="44"/>
      <c r="BI41" s="44"/>
      <c r="BJ41" s="44"/>
      <c r="BK41" s="45"/>
      <c r="BL41" s="45"/>
      <c r="BM41" s="45"/>
      <c r="BN41" s="45"/>
      <c r="BO41" s="45"/>
      <c r="BP41" s="45"/>
      <c r="BQ41" s="45"/>
      <c r="BR41" s="45"/>
      <c r="BS41" s="45"/>
      <c r="BT41" s="49"/>
      <c r="BU41" s="49"/>
      <c r="BV41" s="49"/>
      <c r="BW41" s="49"/>
      <c r="BX41" s="49"/>
      <c r="BY41" s="49"/>
      <c r="BZ41" s="49"/>
      <c r="CA41" s="49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</row>
    <row r="42" ht="21.0" customHeight="1">
      <c r="A42" s="25">
        <v>11.0</v>
      </c>
      <c r="B42" s="26" t="s">
        <v>73</v>
      </c>
      <c r="C42" s="27"/>
      <c r="D42" s="27"/>
      <c r="E42" s="28"/>
      <c r="F42" s="29"/>
      <c r="G42" s="30"/>
      <c r="H42" s="31"/>
      <c r="I42" s="31"/>
      <c r="J42" s="29"/>
      <c r="K42" s="32"/>
      <c r="L42" s="29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29"/>
      <c r="BG42" s="30"/>
      <c r="BH42" s="31"/>
      <c r="BI42" s="31"/>
      <c r="BJ42" s="29"/>
      <c r="BK42" s="32"/>
      <c r="BL42" s="29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</row>
    <row r="43" ht="17.25" customHeight="1" outlineLevel="1">
      <c r="A43" s="42" t="s">
        <v>74</v>
      </c>
      <c r="B43" s="34" t="s">
        <v>75</v>
      </c>
      <c r="C43" s="35">
        <v>43174.0</v>
      </c>
      <c r="D43" s="35">
        <v>43175.0</v>
      </c>
      <c r="E43" s="36">
        <v>0.0</v>
      </c>
      <c r="F43" s="46"/>
      <c r="G43" s="43"/>
      <c r="H43" s="44"/>
      <c r="I43" s="44"/>
      <c r="J43" s="44"/>
      <c r="K43" s="76"/>
      <c r="L43" s="76"/>
      <c r="M43" s="76"/>
      <c r="N43" s="76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6"/>
      <c r="BG43" s="43"/>
      <c r="BH43" s="44"/>
      <c r="BI43" s="44"/>
      <c r="BJ43" s="44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9"/>
      <c r="CC43" s="49"/>
      <c r="CD43" s="49"/>
      <c r="CE43" s="49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</row>
    <row r="44" ht="17.25" customHeight="1" outlineLevel="1">
      <c r="A44" s="42" t="s">
        <v>76</v>
      </c>
      <c r="B44" s="34" t="s">
        <v>77</v>
      </c>
      <c r="C44" s="35">
        <v>43174.0</v>
      </c>
      <c r="D44" s="35">
        <v>43175.0</v>
      </c>
      <c r="E44" s="36">
        <v>0.0</v>
      </c>
      <c r="F44" s="46"/>
      <c r="G44" s="43"/>
      <c r="H44" s="44"/>
      <c r="I44" s="44"/>
      <c r="J44" s="44"/>
      <c r="K44" s="45"/>
      <c r="L44" s="45"/>
      <c r="M44" s="45"/>
      <c r="N44" s="45"/>
      <c r="O44" s="49"/>
      <c r="P44" s="49"/>
      <c r="Q44" s="49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6"/>
      <c r="BG44" s="43"/>
      <c r="BH44" s="44"/>
      <c r="BI44" s="44"/>
      <c r="BJ44" s="44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9"/>
      <c r="CG44" s="49"/>
      <c r="CH44" s="49"/>
      <c r="CI44" s="74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</row>
  </sheetData>
  <mergeCells count="37">
    <mergeCell ref="AF1:AR1"/>
    <mergeCell ref="AS1:BE1"/>
    <mergeCell ref="BF1:BR1"/>
    <mergeCell ref="BS1:CE1"/>
    <mergeCell ref="CF1:CR1"/>
    <mergeCell ref="CS1:DE1"/>
    <mergeCell ref="F2:I2"/>
    <mergeCell ref="J2:M2"/>
    <mergeCell ref="N2:R2"/>
    <mergeCell ref="S2:V2"/>
    <mergeCell ref="A1:A2"/>
    <mergeCell ref="B1:B2"/>
    <mergeCell ref="C1:C2"/>
    <mergeCell ref="D1:D2"/>
    <mergeCell ref="E1:E2"/>
    <mergeCell ref="F1:R1"/>
    <mergeCell ref="S1:AE1"/>
    <mergeCell ref="W2:Z2"/>
    <mergeCell ref="AA2:AE2"/>
    <mergeCell ref="AF2:AI2"/>
    <mergeCell ref="AJ2:AN2"/>
    <mergeCell ref="AO2:AR2"/>
    <mergeCell ref="AS2:AV2"/>
    <mergeCell ref="AW2:BA2"/>
    <mergeCell ref="CF2:CI2"/>
    <mergeCell ref="CJ2:CN2"/>
    <mergeCell ref="CO2:CR2"/>
    <mergeCell ref="CS2:CV2"/>
    <mergeCell ref="CW2:DA2"/>
    <mergeCell ref="DB2:DE2"/>
    <mergeCell ref="BB2:BE2"/>
    <mergeCell ref="BF2:BI2"/>
    <mergeCell ref="BJ2:BM2"/>
    <mergeCell ref="BN2:BR2"/>
    <mergeCell ref="BS2:BV2"/>
    <mergeCell ref="BW2:CA2"/>
    <mergeCell ref="CB2:CE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11.13"/>
    <col customWidth="1" min="2" max="2" width="55.13"/>
    <col customWidth="1" min="3" max="3" width="10.5"/>
    <col customWidth="1" min="4" max="4" width="13.0"/>
    <col customWidth="1" min="5" max="5" width="11.63"/>
    <col customWidth="1" min="6" max="109" width="3.0"/>
  </cols>
  <sheetData>
    <row r="1" ht="17.25" customHeight="1">
      <c r="A1" s="1" t="s">
        <v>78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S1" s="5" t="s">
        <v>6</v>
      </c>
      <c r="AF1" s="6" t="s">
        <v>7</v>
      </c>
      <c r="AS1" s="7" t="s">
        <v>8</v>
      </c>
      <c r="BE1" s="8"/>
      <c r="BF1" s="4" t="s">
        <v>9</v>
      </c>
      <c r="BS1" s="5" t="s">
        <v>10</v>
      </c>
      <c r="CF1" s="6" t="s">
        <v>11</v>
      </c>
      <c r="CS1" s="7" t="s">
        <v>12</v>
      </c>
      <c r="DE1" s="8"/>
    </row>
    <row r="2" ht="17.25" customHeight="1">
      <c r="F2" s="9" t="s">
        <v>13</v>
      </c>
      <c r="G2" s="10"/>
      <c r="H2" s="10"/>
      <c r="I2" s="11"/>
      <c r="J2" s="9" t="s">
        <v>14</v>
      </c>
      <c r="K2" s="10"/>
      <c r="L2" s="10"/>
      <c r="M2" s="11"/>
      <c r="N2" s="9" t="s">
        <v>15</v>
      </c>
      <c r="O2" s="10"/>
      <c r="P2" s="10"/>
      <c r="Q2" s="10"/>
      <c r="R2" s="11"/>
      <c r="S2" s="12" t="s">
        <v>16</v>
      </c>
      <c r="T2" s="10"/>
      <c r="U2" s="10"/>
      <c r="V2" s="11"/>
      <c r="W2" s="12" t="s">
        <v>17</v>
      </c>
      <c r="X2" s="10"/>
      <c r="Y2" s="10"/>
      <c r="Z2" s="11"/>
      <c r="AA2" s="12" t="s">
        <v>18</v>
      </c>
      <c r="AB2" s="10"/>
      <c r="AC2" s="10"/>
      <c r="AD2" s="10"/>
      <c r="AE2" s="11"/>
      <c r="AF2" s="13" t="s">
        <v>19</v>
      </c>
      <c r="AG2" s="10"/>
      <c r="AH2" s="10"/>
      <c r="AI2" s="11"/>
      <c r="AJ2" s="13" t="s">
        <v>20</v>
      </c>
      <c r="AK2" s="10"/>
      <c r="AL2" s="10"/>
      <c r="AM2" s="10"/>
      <c r="AN2" s="11"/>
      <c r="AO2" s="13" t="s">
        <v>21</v>
      </c>
      <c r="AP2" s="10"/>
      <c r="AQ2" s="10"/>
      <c r="AR2" s="11"/>
      <c r="AS2" s="14" t="s">
        <v>22</v>
      </c>
      <c r="AT2" s="10"/>
      <c r="AU2" s="10"/>
      <c r="AV2" s="11"/>
      <c r="AW2" s="14" t="s">
        <v>23</v>
      </c>
      <c r="AX2" s="10"/>
      <c r="AY2" s="10"/>
      <c r="AZ2" s="10"/>
      <c r="BA2" s="11"/>
      <c r="BB2" s="14" t="s">
        <v>24</v>
      </c>
      <c r="BC2" s="10"/>
      <c r="BD2" s="10"/>
      <c r="BE2" s="11"/>
      <c r="BF2" s="9" t="s">
        <v>13</v>
      </c>
      <c r="BG2" s="10"/>
      <c r="BH2" s="10"/>
      <c r="BI2" s="11"/>
      <c r="BJ2" s="9" t="s">
        <v>14</v>
      </c>
      <c r="BK2" s="10"/>
      <c r="BL2" s="10"/>
      <c r="BM2" s="11"/>
      <c r="BN2" s="9" t="s">
        <v>15</v>
      </c>
      <c r="BO2" s="10"/>
      <c r="BP2" s="10"/>
      <c r="BQ2" s="10"/>
      <c r="BR2" s="11"/>
      <c r="BS2" s="12" t="s">
        <v>16</v>
      </c>
      <c r="BT2" s="10"/>
      <c r="BU2" s="10"/>
      <c r="BV2" s="11"/>
      <c r="BW2" s="12" t="s">
        <v>17</v>
      </c>
      <c r="BX2" s="10"/>
      <c r="BY2" s="10"/>
      <c r="BZ2" s="10"/>
      <c r="CA2" s="11"/>
      <c r="CB2" s="12" t="s">
        <v>18</v>
      </c>
      <c r="CC2" s="10"/>
      <c r="CD2" s="10"/>
      <c r="CE2" s="11"/>
      <c r="CF2" s="13" t="s">
        <v>19</v>
      </c>
      <c r="CG2" s="10"/>
      <c r="CH2" s="10"/>
      <c r="CI2" s="11"/>
      <c r="CJ2" s="13" t="s">
        <v>20</v>
      </c>
      <c r="CK2" s="10"/>
      <c r="CL2" s="10"/>
      <c r="CM2" s="10"/>
      <c r="CN2" s="11"/>
      <c r="CO2" s="13" t="s">
        <v>21</v>
      </c>
      <c r="CP2" s="10"/>
      <c r="CQ2" s="10"/>
      <c r="CR2" s="11"/>
      <c r="CS2" s="14" t="s">
        <v>22</v>
      </c>
      <c r="CT2" s="10"/>
      <c r="CU2" s="10"/>
      <c r="CV2" s="11"/>
      <c r="CW2" s="14" t="s">
        <v>23</v>
      </c>
      <c r="CX2" s="10"/>
      <c r="CY2" s="10"/>
      <c r="CZ2" s="10"/>
      <c r="DA2" s="11"/>
      <c r="DB2" s="14" t="s">
        <v>24</v>
      </c>
      <c r="DC2" s="10"/>
      <c r="DD2" s="10"/>
      <c r="DE2" s="11"/>
    </row>
    <row r="3" ht="17.25" customHeight="1">
      <c r="A3" s="15"/>
      <c r="B3" s="15"/>
      <c r="C3" s="16"/>
      <c r="D3" s="16"/>
      <c r="E3" s="15"/>
      <c r="F3" s="17">
        <v>5.0</v>
      </c>
      <c r="G3" s="18">
        <f t="shared" ref="G3:I3" si="1">F3+7</f>
        <v>12</v>
      </c>
      <c r="H3" s="18">
        <f t="shared" si="1"/>
        <v>19</v>
      </c>
      <c r="I3" s="18">
        <f t="shared" si="1"/>
        <v>26</v>
      </c>
      <c r="J3" s="17">
        <v>2.0</v>
      </c>
      <c r="K3" s="18">
        <f t="shared" ref="K3:M3" si="2">J3+7</f>
        <v>9</v>
      </c>
      <c r="L3" s="18">
        <f t="shared" si="2"/>
        <v>16</v>
      </c>
      <c r="M3" s="18">
        <f t="shared" si="2"/>
        <v>23</v>
      </c>
      <c r="N3" s="17">
        <v>2.0</v>
      </c>
      <c r="O3" s="18">
        <f>N3+7</f>
        <v>9</v>
      </c>
      <c r="P3" s="18">
        <f t="shared" ref="P3:R3" si="3">INDEX(3:3,COLUMN()-1)+7</f>
        <v>16</v>
      </c>
      <c r="Q3" s="18">
        <f t="shared" si="3"/>
        <v>23</v>
      </c>
      <c r="R3" s="18">
        <f t="shared" si="3"/>
        <v>30</v>
      </c>
      <c r="S3" s="19">
        <v>6.0</v>
      </c>
      <c r="T3" s="20">
        <f t="shared" ref="T3:V3" si="4">INDEX(3:3,COLUMN()-1)+7</f>
        <v>13</v>
      </c>
      <c r="U3" s="20">
        <f t="shared" si="4"/>
        <v>20</v>
      </c>
      <c r="V3" s="20">
        <f t="shared" si="4"/>
        <v>27</v>
      </c>
      <c r="W3" s="19">
        <v>4.0</v>
      </c>
      <c r="X3" s="20">
        <f t="shared" ref="X3:Z3" si="5">INDEX(3:3,COLUMN()-1)+7</f>
        <v>11</v>
      </c>
      <c r="Y3" s="20">
        <f t="shared" si="5"/>
        <v>18</v>
      </c>
      <c r="Z3" s="20">
        <f t="shared" si="5"/>
        <v>25</v>
      </c>
      <c r="AA3" s="19">
        <v>1.0</v>
      </c>
      <c r="AB3" s="20">
        <f t="shared" ref="AB3:AE3" si="6">INDEX(3:3,COLUMN()-1)+7</f>
        <v>8</v>
      </c>
      <c r="AC3" s="20">
        <f t="shared" si="6"/>
        <v>15</v>
      </c>
      <c r="AD3" s="20">
        <f t="shared" si="6"/>
        <v>22</v>
      </c>
      <c r="AE3" s="20">
        <f t="shared" si="6"/>
        <v>29</v>
      </c>
      <c r="AF3" s="21">
        <v>6.0</v>
      </c>
      <c r="AG3" s="22">
        <f t="shared" ref="AG3:AI3" si="7">INDEX(3:3,COLUMN()-1)+7</f>
        <v>13</v>
      </c>
      <c r="AH3" s="22">
        <f t="shared" si="7"/>
        <v>20</v>
      </c>
      <c r="AI3" s="22">
        <f t="shared" si="7"/>
        <v>27</v>
      </c>
      <c r="AJ3" s="21">
        <v>3.0</v>
      </c>
      <c r="AK3" s="22">
        <f t="shared" ref="AK3:AN3" si="8">INDEX(3:3,COLUMN()-1)+7</f>
        <v>10</v>
      </c>
      <c r="AL3" s="22">
        <f t="shared" si="8"/>
        <v>17</v>
      </c>
      <c r="AM3" s="22">
        <f t="shared" si="8"/>
        <v>24</v>
      </c>
      <c r="AN3" s="22">
        <f t="shared" si="8"/>
        <v>31</v>
      </c>
      <c r="AO3" s="21">
        <v>7.0</v>
      </c>
      <c r="AP3" s="22">
        <f t="shared" ref="AP3:AR3" si="9">INDEX(3:3,COLUMN()-1)+7</f>
        <v>14</v>
      </c>
      <c r="AQ3" s="22">
        <f t="shared" si="9"/>
        <v>21</v>
      </c>
      <c r="AR3" s="22">
        <f t="shared" si="9"/>
        <v>28</v>
      </c>
      <c r="AS3" s="23">
        <v>5.0</v>
      </c>
      <c r="AT3" s="24">
        <f t="shared" ref="AT3:AV3" si="10">INDEX(3:3,COLUMN()-1)+7</f>
        <v>12</v>
      </c>
      <c r="AU3" s="24">
        <f t="shared" si="10"/>
        <v>19</v>
      </c>
      <c r="AV3" s="24">
        <f t="shared" si="10"/>
        <v>26</v>
      </c>
      <c r="AW3" s="23">
        <v>2.0</v>
      </c>
      <c r="AX3" s="24">
        <f t="shared" ref="AX3:BA3" si="11">INDEX(3:3,COLUMN()-1)+7</f>
        <v>9</v>
      </c>
      <c r="AY3" s="24">
        <f t="shared" si="11"/>
        <v>16</v>
      </c>
      <c r="AZ3" s="24">
        <f t="shared" si="11"/>
        <v>23</v>
      </c>
      <c r="BA3" s="24">
        <f t="shared" si="11"/>
        <v>30</v>
      </c>
      <c r="BB3" s="23">
        <v>7.0</v>
      </c>
      <c r="BC3" s="24">
        <f t="shared" ref="BC3:BE3" si="12">INDEX(3:3,COLUMN()-1)+7</f>
        <v>14</v>
      </c>
      <c r="BD3" s="24">
        <f t="shared" si="12"/>
        <v>21</v>
      </c>
      <c r="BE3" s="24">
        <f t="shared" si="12"/>
        <v>28</v>
      </c>
      <c r="BF3" s="17">
        <v>4.0</v>
      </c>
      <c r="BG3" s="18">
        <f t="shared" ref="BG3:BI3" si="13">BF3+7</f>
        <v>11</v>
      </c>
      <c r="BH3" s="18">
        <f t="shared" si="13"/>
        <v>18</v>
      </c>
      <c r="BI3" s="18">
        <f t="shared" si="13"/>
        <v>25</v>
      </c>
      <c r="BJ3" s="17">
        <v>1.0</v>
      </c>
      <c r="BK3" s="18">
        <f t="shared" ref="BK3:BM3" si="14">BJ3+7</f>
        <v>8</v>
      </c>
      <c r="BL3" s="18">
        <f t="shared" si="14"/>
        <v>15</v>
      </c>
      <c r="BM3" s="18">
        <f t="shared" si="14"/>
        <v>22</v>
      </c>
      <c r="BN3" s="17">
        <v>1.0</v>
      </c>
      <c r="BO3" s="18">
        <f>BN3+7</f>
        <v>8</v>
      </c>
      <c r="BP3" s="18">
        <f t="shared" ref="BP3:BR3" si="15">INDEX(3:3,COLUMN()-1)+7</f>
        <v>15</v>
      </c>
      <c r="BQ3" s="18">
        <f t="shared" si="15"/>
        <v>22</v>
      </c>
      <c r="BR3" s="18">
        <f t="shared" si="15"/>
        <v>29</v>
      </c>
      <c r="BS3" s="19">
        <v>6.0</v>
      </c>
      <c r="BT3" s="20">
        <f t="shared" ref="BT3:BV3" si="16">INDEX(3:3,COLUMN()-1)+7</f>
        <v>13</v>
      </c>
      <c r="BU3" s="20">
        <f t="shared" si="16"/>
        <v>20</v>
      </c>
      <c r="BV3" s="20">
        <f t="shared" si="16"/>
        <v>27</v>
      </c>
      <c r="BW3" s="19">
        <v>3.0</v>
      </c>
      <c r="BX3" s="20">
        <f t="shared" ref="BX3:CA3" si="17">INDEX(3:3,COLUMN()-1)+7</f>
        <v>10</v>
      </c>
      <c r="BY3" s="20">
        <f t="shared" si="17"/>
        <v>17</v>
      </c>
      <c r="BZ3" s="20">
        <f t="shared" si="17"/>
        <v>24</v>
      </c>
      <c r="CA3" s="20">
        <f t="shared" si="17"/>
        <v>31</v>
      </c>
      <c r="CB3" s="19">
        <v>7.0</v>
      </c>
      <c r="CC3" s="20">
        <f t="shared" ref="CC3:CE3" si="18">INDEX(3:3,COLUMN()-1)+7</f>
        <v>14</v>
      </c>
      <c r="CD3" s="20">
        <f t="shared" si="18"/>
        <v>21</v>
      </c>
      <c r="CE3" s="20">
        <f t="shared" si="18"/>
        <v>28</v>
      </c>
      <c r="CF3" s="21">
        <v>5.0</v>
      </c>
      <c r="CG3" s="22">
        <f t="shared" ref="CG3:CI3" si="19">INDEX(3:3,COLUMN()-1)+7</f>
        <v>12</v>
      </c>
      <c r="CH3" s="22">
        <f t="shared" si="19"/>
        <v>19</v>
      </c>
      <c r="CI3" s="22">
        <f t="shared" si="19"/>
        <v>26</v>
      </c>
      <c r="CJ3" s="21">
        <v>2.0</v>
      </c>
      <c r="CK3" s="22">
        <f t="shared" ref="CK3:CN3" si="20">INDEX(3:3,COLUMN()-1)+7</f>
        <v>9</v>
      </c>
      <c r="CL3" s="22">
        <f t="shared" si="20"/>
        <v>16</v>
      </c>
      <c r="CM3" s="22">
        <f t="shared" si="20"/>
        <v>23</v>
      </c>
      <c r="CN3" s="22">
        <f t="shared" si="20"/>
        <v>30</v>
      </c>
      <c r="CO3" s="21">
        <v>6.0</v>
      </c>
      <c r="CP3" s="22">
        <f t="shared" ref="CP3:CR3" si="21">INDEX(3:3,COLUMN()-1)+7</f>
        <v>13</v>
      </c>
      <c r="CQ3" s="22">
        <f t="shared" si="21"/>
        <v>20</v>
      </c>
      <c r="CR3" s="22">
        <f t="shared" si="21"/>
        <v>27</v>
      </c>
      <c r="CS3" s="23">
        <v>4.0</v>
      </c>
      <c r="CT3" s="24">
        <f t="shared" ref="CT3:CV3" si="22">INDEX(3:3,COLUMN()-1)+7</f>
        <v>11</v>
      </c>
      <c r="CU3" s="24">
        <f t="shared" si="22"/>
        <v>18</v>
      </c>
      <c r="CV3" s="24">
        <f t="shared" si="22"/>
        <v>25</v>
      </c>
      <c r="CW3" s="23">
        <v>1.0</v>
      </c>
      <c r="CX3" s="24">
        <f t="shared" ref="CX3:DA3" si="23">INDEX(3:3,COLUMN()-1)+7</f>
        <v>8</v>
      </c>
      <c r="CY3" s="24">
        <f t="shared" si="23"/>
        <v>15</v>
      </c>
      <c r="CZ3" s="24">
        <f t="shared" si="23"/>
        <v>22</v>
      </c>
      <c r="DA3" s="24">
        <f t="shared" si="23"/>
        <v>29</v>
      </c>
      <c r="DB3" s="23">
        <v>6.0</v>
      </c>
      <c r="DC3" s="24">
        <f t="shared" ref="DC3:DE3" si="24">INDEX(3:3,COLUMN()-1)+7</f>
        <v>13</v>
      </c>
      <c r="DD3" s="24">
        <f t="shared" si="24"/>
        <v>20</v>
      </c>
      <c r="DE3" s="24">
        <f t="shared" si="24"/>
        <v>27</v>
      </c>
    </row>
    <row r="4" ht="21.0" customHeight="1">
      <c r="A4" s="25">
        <v>1.0</v>
      </c>
      <c r="B4" s="26" t="s">
        <v>25</v>
      </c>
      <c r="C4" s="27"/>
      <c r="D4" s="27"/>
      <c r="E4" s="28"/>
      <c r="F4" s="29"/>
      <c r="G4" s="30"/>
      <c r="H4" s="31"/>
      <c r="I4" s="31"/>
      <c r="J4" s="29"/>
      <c r="K4" s="32"/>
      <c r="L4" s="29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29"/>
      <c r="BG4" s="30"/>
      <c r="BH4" s="31"/>
      <c r="BI4" s="31"/>
      <c r="BJ4" s="29"/>
      <c r="BK4" s="32"/>
      <c r="BL4" s="29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</row>
    <row r="5" ht="17.25" customHeight="1" outlineLevel="1">
      <c r="A5" s="33">
        <v>43101.0</v>
      </c>
      <c r="B5" s="34" t="s">
        <v>26</v>
      </c>
      <c r="C5" s="35">
        <v>46027.0</v>
      </c>
      <c r="D5" s="35">
        <v>46031.0</v>
      </c>
      <c r="E5" s="36">
        <v>1.0</v>
      </c>
      <c r="F5" s="37"/>
      <c r="G5" s="38"/>
      <c r="H5" s="39"/>
      <c r="I5" s="39"/>
      <c r="J5" s="39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1"/>
      <c r="BG5" s="38"/>
      <c r="BH5" s="39"/>
      <c r="BI5" s="39"/>
      <c r="BJ5" s="39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</row>
    <row r="6" ht="17.25" customHeight="1" outlineLevel="1">
      <c r="A6" s="42" t="s">
        <v>27</v>
      </c>
      <c r="B6" s="34" t="s">
        <v>28</v>
      </c>
      <c r="C6" s="35">
        <v>46027.0</v>
      </c>
      <c r="D6" s="35">
        <v>46031.0</v>
      </c>
      <c r="E6" s="36">
        <v>1.0</v>
      </c>
      <c r="F6" s="37"/>
      <c r="G6" s="43"/>
      <c r="H6" s="44"/>
      <c r="I6" s="44"/>
      <c r="J6" s="44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6"/>
      <c r="BG6" s="43"/>
      <c r="BH6" s="44"/>
      <c r="BI6" s="44"/>
      <c r="BJ6" s="44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</row>
    <row r="7" ht="17.25" customHeight="1" outlineLevel="1">
      <c r="A7" s="33">
        <v>43160.0</v>
      </c>
      <c r="B7" s="34" t="s">
        <v>29</v>
      </c>
      <c r="C7" s="35">
        <v>46027.0</v>
      </c>
      <c r="D7" s="35">
        <v>46031.0</v>
      </c>
      <c r="E7" s="36">
        <v>1.0</v>
      </c>
      <c r="F7" s="37"/>
      <c r="G7" s="43"/>
      <c r="H7" s="44"/>
      <c r="I7" s="44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6"/>
      <c r="BG7" s="43"/>
      <c r="BH7" s="44"/>
      <c r="BI7" s="44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</row>
    <row r="8" ht="17.25" customHeight="1" outlineLevel="1">
      <c r="A8" s="33">
        <v>43191.0</v>
      </c>
      <c r="B8" s="34" t="s">
        <v>30</v>
      </c>
      <c r="C8" s="35">
        <v>46027.0</v>
      </c>
      <c r="D8" s="35">
        <v>46038.0</v>
      </c>
      <c r="E8" s="36">
        <v>2.0</v>
      </c>
      <c r="F8" s="37"/>
      <c r="G8" s="47"/>
      <c r="H8" s="44"/>
      <c r="I8" s="44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6"/>
      <c r="BG8" s="43"/>
      <c r="BH8" s="44"/>
      <c r="BI8" s="44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</row>
    <row r="9" ht="17.25" customHeight="1" outlineLevel="1">
      <c r="A9" s="33">
        <v>43221.0</v>
      </c>
      <c r="B9" s="34" t="s">
        <v>31</v>
      </c>
      <c r="C9" s="35">
        <v>46041.0</v>
      </c>
      <c r="D9" s="35">
        <v>46045.0</v>
      </c>
      <c r="E9" s="36">
        <v>1.0</v>
      </c>
      <c r="F9" s="46"/>
      <c r="G9" s="48"/>
      <c r="H9" s="49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6"/>
      <c r="BG9" s="43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</row>
    <row r="10" ht="17.25" customHeight="1" outlineLevel="1">
      <c r="A10" s="50">
        <v>43252.0</v>
      </c>
      <c r="B10" s="51" t="s">
        <v>32</v>
      </c>
      <c r="C10" s="52">
        <v>46041.0</v>
      </c>
      <c r="D10" s="52">
        <v>46045.0</v>
      </c>
      <c r="E10" s="53">
        <v>1.0</v>
      </c>
      <c r="F10" s="54"/>
      <c r="G10" s="48"/>
      <c r="H10" s="55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4"/>
      <c r="BG10" s="57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</row>
    <row r="11" ht="21.0" customHeight="1">
      <c r="A11" s="25">
        <v>2.0</v>
      </c>
      <c r="B11" s="58" t="s">
        <v>33</v>
      </c>
      <c r="C11" s="27"/>
      <c r="D11" s="27"/>
      <c r="E11" s="28"/>
      <c r="F11" s="29"/>
      <c r="G11" s="30"/>
      <c r="H11" s="31"/>
      <c r="I11" s="31"/>
      <c r="J11" s="29"/>
      <c r="K11" s="32"/>
      <c r="L11" s="29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29"/>
      <c r="BG11" s="30"/>
      <c r="BH11" s="31"/>
      <c r="BI11" s="31"/>
      <c r="BJ11" s="29"/>
      <c r="BK11" s="32"/>
      <c r="BL11" s="29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</row>
    <row r="12" ht="17.25" customHeight="1" outlineLevel="1">
      <c r="A12" s="33">
        <v>46024.0</v>
      </c>
      <c r="B12" s="34" t="s">
        <v>34</v>
      </c>
      <c r="C12" s="59">
        <v>46048.0</v>
      </c>
      <c r="D12" s="35">
        <v>46052.0</v>
      </c>
      <c r="E12" s="60">
        <v>1.0</v>
      </c>
      <c r="F12" s="41"/>
      <c r="G12" s="38"/>
      <c r="H12" s="39"/>
      <c r="I12" s="61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1"/>
      <c r="BG12" s="38"/>
      <c r="BH12" s="39"/>
      <c r="BI12" s="39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</row>
    <row r="13" ht="17.25" customHeight="1" outlineLevel="1">
      <c r="A13" s="33">
        <v>46055.0</v>
      </c>
      <c r="B13" s="34" t="s">
        <v>35</v>
      </c>
      <c r="C13" s="35">
        <v>46055.0</v>
      </c>
      <c r="D13" s="35">
        <v>46420.0</v>
      </c>
      <c r="E13" s="36">
        <v>50.0</v>
      </c>
      <c r="F13" s="46"/>
      <c r="G13" s="43"/>
      <c r="H13" s="44"/>
      <c r="I13" s="44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62"/>
      <c r="BG13" s="47"/>
      <c r="BH13" s="63"/>
      <c r="BI13" s="63"/>
      <c r="BJ13" s="49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</row>
    <row r="14" ht="17.25" customHeight="1" outlineLevel="1">
      <c r="A14" s="33">
        <v>46083.0</v>
      </c>
      <c r="B14" s="34" t="s">
        <v>36</v>
      </c>
      <c r="C14" s="35">
        <v>46055.0</v>
      </c>
      <c r="D14" s="35">
        <v>46420.0</v>
      </c>
      <c r="E14" s="36">
        <v>50.0</v>
      </c>
      <c r="F14" s="46"/>
      <c r="G14" s="43"/>
      <c r="H14" s="44"/>
      <c r="I14" s="44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62"/>
      <c r="BG14" s="47"/>
      <c r="BH14" s="63"/>
      <c r="BI14" s="63"/>
      <c r="BJ14" s="49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</row>
    <row r="15" ht="17.25" customHeight="1" outlineLevel="1">
      <c r="A15" s="33">
        <v>43192.0</v>
      </c>
      <c r="B15" s="34" t="s">
        <v>37</v>
      </c>
      <c r="C15" s="35">
        <v>46055.0</v>
      </c>
      <c r="D15" s="35">
        <v>46420.0</v>
      </c>
      <c r="E15" s="36">
        <v>50.0</v>
      </c>
      <c r="F15" s="46"/>
      <c r="G15" s="43"/>
      <c r="H15" s="44"/>
      <c r="I15" s="44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62"/>
      <c r="BG15" s="47"/>
      <c r="BH15" s="63"/>
      <c r="BI15" s="63"/>
      <c r="BJ15" s="49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</row>
    <row r="16" ht="21.0" customHeight="1">
      <c r="A16" s="25">
        <v>3.0</v>
      </c>
      <c r="B16" s="26" t="s">
        <v>38</v>
      </c>
      <c r="C16" s="27"/>
      <c r="D16" s="27"/>
      <c r="E16" s="28"/>
      <c r="F16" s="29"/>
      <c r="G16" s="30"/>
      <c r="H16" s="31"/>
      <c r="I16" s="31"/>
      <c r="J16" s="29"/>
      <c r="K16" s="32"/>
      <c r="L16" s="29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29"/>
      <c r="BG16" s="30"/>
      <c r="BH16" s="31"/>
      <c r="BI16" s="31"/>
      <c r="BJ16" s="29"/>
      <c r="BK16" s="32"/>
      <c r="BL16" s="29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</row>
    <row r="17" ht="17.25" customHeight="1" outlineLevel="1">
      <c r="A17" s="64">
        <v>46025.0</v>
      </c>
      <c r="B17" s="34" t="s">
        <v>39</v>
      </c>
      <c r="C17" s="35">
        <v>43172.0</v>
      </c>
      <c r="D17" s="35">
        <v>43172.0</v>
      </c>
      <c r="E17" s="36">
        <v>1.0</v>
      </c>
      <c r="F17" s="41"/>
      <c r="G17" s="38"/>
      <c r="H17" s="39"/>
      <c r="I17" s="78"/>
      <c r="J17" s="74"/>
      <c r="K17" s="74"/>
      <c r="L17" s="74"/>
      <c r="M17" s="74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80"/>
      <c r="BG17" s="81"/>
      <c r="BH17" s="78"/>
      <c r="BI17" s="78"/>
      <c r="BJ17" s="74"/>
      <c r="BK17" s="49"/>
      <c r="BL17" s="74"/>
      <c r="BM17" s="74"/>
      <c r="BN17" s="79"/>
      <c r="BO17" s="79"/>
      <c r="BP17" s="79"/>
      <c r="BQ17" s="79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</row>
    <row r="18" ht="17.25" customHeight="1" outlineLevel="1">
      <c r="A18" s="64">
        <v>46056.0</v>
      </c>
      <c r="B18" s="34" t="s">
        <v>40</v>
      </c>
      <c r="C18" s="35">
        <v>43173.0</v>
      </c>
      <c r="D18" s="35">
        <v>43173.0</v>
      </c>
      <c r="E18" s="36">
        <v>1.0</v>
      </c>
      <c r="F18" s="41"/>
      <c r="G18" s="38"/>
      <c r="H18" s="39"/>
      <c r="I18" s="78"/>
      <c r="J18" s="74"/>
      <c r="K18" s="74"/>
      <c r="L18" s="74"/>
      <c r="M18" s="74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80"/>
      <c r="BG18" s="81"/>
      <c r="BH18" s="78"/>
      <c r="BI18" s="78"/>
      <c r="BJ18" s="74"/>
      <c r="BK18" s="49"/>
      <c r="BL18" s="74"/>
      <c r="BM18" s="74"/>
      <c r="BN18" s="79"/>
      <c r="BO18" s="79"/>
      <c r="BP18" s="79"/>
      <c r="BQ18" s="79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40"/>
      <c r="DB18" s="40"/>
      <c r="DC18" s="40"/>
      <c r="DD18" s="40"/>
      <c r="DE18" s="40"/>
    </row>
    <row r="19" ht="17.25" customHeight="1" outlineLevel="1">
      <c r="A19" s="64">
        <v>46084.0</v>
      </c>
      <c r="B19" s="34" t="s">
        <v>41</v>
      </c>
      <c r="C19" s="35">
        <v>43171.0</v>
      </c>
      <c r="D19" s="35">
        <v>43171.0</v>
      </c>
      <c r="E19" s="36">
        <v>50.0</v>
      </c>
      <c r="F19" s="46"/>
      <c r="G19" s="43"/>
      <c r="H19" s="44"/>
      <c r="I19" s="82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83"/>
      <c r="BG19" s="48"/>
      <c r="BH19" s="82"/>
      <c r="BI19" s="82"/>
      <c r="BJ19" s="74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</row>
    <row r="20" ht="21.0" customHeight="1">
      <c r="A20" s="25">
        <v>4.0</v>
      </c>
      <c r="B20" s="26" t="s">
        <v>42</v>
      </c>
      <c r="C20" s="27"/>
      <c r="D20" s="27"/>
      <c r="E20" s="28"/>
      <c r="F20" s="29"/>
      <c r="G20" s="30"/>
      <c r="H20" s="31"/>
      <c r="I20" s="31"/>
      <c r="J20" s="29"/>
      <c r="K20" s="32"/>
      <c r="L20" s="29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29"/>
      <c r="BG20" s="30"/>
      <c r="BH20" s="31"/>
      <c r="BI20" s="31"/>
      <c r="BJ20" s="29"/>
      <c r="BK20" s="32"/>
      <c r="BL20" s="29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</row>
    <row r="21" ht="17.25" customHeight="1" outlineLevel="1">
      <c r="A21" s="33">
        <v>43104.0</v>
      </c>
      <c r="B21" s="34" t="s">
        <v>43</v>
      </c>
      <c r="C21" s="35">
        <v>43171.0</v>
      </c>
      <c r="D21" s="35">
        <v>43171.0</v>
      </c>
      <c r="E21" s="36">
        <v>0.0</v>
      </c>
      <c r="F21" s="41"/>
      <c r="G21" s="38"/>
      <c r="H21" s="39"/>
      <c r="I21" s="78"/>
      <c r="J21" s="79"/>
      <c r="K21" s="79"/>
      <c r="L21" s="79"/>
      <c r="M21" s="79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1"/>
      <c r="BG21" s="38"/>
      <c r="BH21" s="39"/>
      <c r="BI21" s="39"/>
      <c r="BJ21" s="40"/>
      <c r="BK21" s="40"/>
      <c r="BL21" s="65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</row>
    <row r="22" ht="21.0" customHeight="1">
      <c r="A22" s="25">
        <v>5.0</v>
      </c>
      <c r="B22" s="26" t="s">
        <v>44</v>
      </c>
      <c r="C22" s="27"/>
      <c r="D22" s="27"/>
      <c r="E22" s="28"/>
      <c r="F22" s="29"/>
      <c r="G22" s="30"/>
      <c r="H22" s="31"/>
      <c r="I22" s="31"/>
      <c r="J22" s="29"/>
      <c r="K22" s="32"/>
      <c r="L22" s="29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29"/>
      <c r="BG22" s="30"/>
      <c r="BH22" s="31"/>
      <c r="BI22" s="31"/>
      <c r="BJ22" s="29"/>
      <c r="BK22" s="32"/>
      <c r="BL22" s="29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</row>
    <row r="23" ht="17.25" customHeight="1" outlineLevel="1">
      <c r="A23" s="33">
        <v>46027.0</v>
      </c>
      <c r="B23" s="34" t="s">
        <v>45</v>
      </c>
      <c r="C23" s="35">
        <v>43171.0</v>
      </c>
      <c r="D23" s="35">
        <v>43171.0</v>
      </c>
      <c r="E23" s="36">
        <v>0.0</v>
      </c>
      <c r="F23" s="41"/>
      <c r="G23" s="38"/>
      <c r="H23" s="39"/>
      <c r="I23" s="3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1"/>
      <c r="BG23" s="38"/>
      <c r="BH23" s="39"/>
      <c r="BI23" s="39"/>
      <c r="BJ23" s="40"/>
      <c r="BK23" s="40"/>
      <c r="BL23" s="40"/>
      <c r="BM23" s="65"/>
      <c r="BN23" s="65"/>
      <c r="BO23" s="65"/>
      <c r="BP23" s="65"/>
      <c r="BQ23" s="65"/>
      <c r="BR23" s="65"/>
      <c r="BS23" s="65"/>
      <c r="BT23" s="65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</row>
    <row r="24" ht="17.25" customHeight="1" outlineLevel="1">
      <c r="A24" s="66">
        <v>46058.0</v>
      </c>
      <c r="B24" s="67" t="s">
        <v>46</v>
      </c>
      <c r="C24" s="35">
        <v>43171.0</v>
      </c>
      <c r="D24" s="35">
        <v>43171.0</v>
      </c>
      <c r="E24" s="84">
        <v>0.0</v>
      </c>
      <c r="F24" s="69"/>
      <c r="G24" s="70"/>
      <c r="H24" s="71"/>
      <c r="I24" s="71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69"/>
      <c r="BG24" s="70"/>
      <c r="BH24" s="71"/>
      <c r="BI24" s="71"/>
      <c r="BJ24" s="72"/>
      <c r="BK24" s="72"/>
      <c r="BL24" s="72"/>
      <c r="BM24" s="73"/>
      <c r="BN24" s="73"/>
      <c r="BO24" s="73"/>
      <c r="BP24" s="73"/>
      <c r="BQ24" s="73"/>
      <c r="BR24" s="73"/>
      <c r="BS24" s="73"/>
      <c r="BT24" s="73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2"/>
      <c r="CW24" s="72"/>
      <c r="CX24" s="72"/>
      <c r="CY24" s="72"/>
      <c r="CZ24" s="72"/>
      <c r="DA24" s="72"/>
      <c r="DB24" s="72"/>
      <c r="DC24" s="72"/>
      <c r="DD24" s="72"/>
      <c r="DE24" s="72"/>
    </row>
    <row r="25" ht="17.25" customHeight="1" outlineLevel="1">
      <c r="A25" s="66">
        <v>46086.0</v>
      </c>
      <c r="B25" s="67" t="s">
        <v>47</v>
      </c>
      <c r="C25" s="35">
        <v>43171.0</v>
      </c>
      <c r="D25" s="35">
        <v>43171.0</v>
      </c>
      <c r="E25" s="84">
        <v>0.0</v>
      </c>
      <c r="F25" s="69"/>
      <c r="G25" s="70"/>
      <c r="H25" s="71"/>
      <c r="I25" s="71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69"/>
      <c r="BG25" s="70"/>
      <c r="BH25" s="71"/>
      <c r="BI25" s="71"/>
      <c r="BJ25" s="72"/>
      <c r="BK25" s="72"/>
      <c r="BL25" s="72"/>
      <c r="BM25" s="73"/>
      <c r="BN25" s="73"/>
      <c r="BO25" s="73"/>
      <c r="BP25" s="73"/>
      <c r="BQ25" s="73"/>
      <c r="BR25" s="73"/>
      <c r="BS25" s="73"/>
      <c r="BT25" s="73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72"/>
      <c r="DC25" s="72"/>
      <c r="DD25" s="72"/>
      <c r="DE25" s="72"/>
    </row>
    <row r="26" ht="21.0" customHeight="1">
      <c r="A26" s="25">
        <v>6.0</v>
      </c>
      <c r="B26" s="26" t="s">
        <v>48</v>
      </c>
      <c r="C26" s="27"/>
      <c r="D26" s="27"/>
      <c r="E26" s="28"/>
      <c r="F26" s="29"/>
      <c r="G26" s="30"/>
      <c r="H26" s="31"/>
      <c r="I26" s="31"/>
      <c r="J26" s="29"/>
      <c r="K26" s="32"/>
      <c r="L26" s="29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29"/>
      <c r="BG26" s="30"/>
      <c r="BH26" s="31"/>
      <c r="BI26" s="31"/>
      <c r="BJ26" s="29"/>
      <c r="BK26" s="32"/>
      <c r="BL26" s="29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</row>
    <row r="27" ht="17.25" customHeight="1" outlineLevel="1">
      <c r="A27" s="33">
        <v>46028.0</v>
      </c>
      <c r="B27" s="34" t="s">
        <v>49</v>
      </c>
      <c r="C27" s="35">
        <v>43171.0</v>
      </c>
      <c r="D27" s="35">
        <v>43171.0</v>
      </c>
      <c r="E27" s="36">
        <v>0.0</v>
      </c>
      <c r="F27" s="41"/>
      <c r="G27" s="38"/>
      <c r="H27" s="39"/>
      <c r="I27" s="39"/>
      <c r="J27" s="40"/>
      <c r="K27" s="40"/>
      <c r="L27" s="40"/>
      <c r="M27" s="40"/>
      <c r="N27" s="40"/>
      <c r="O27" s="40"/>
      <c r="P27" s="40"/>
      <c r="Q27" s="40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1"/>
      <c r="BG27" s="38"/>
      <c r="BH27" s="39"/>
      <c r="BI27" s="39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65"/>
      <c r="BV27" s="65"/>
      <c r="BW27" s="65"/>
      <c r="BX27" s="65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</row>
    <row r="28" ht="17.25" customHeight="1" outlineLevel="1">
      <c r="A28" s="33">
        <v>46059.0</v>
      </c>
      <c r="B28" s="34" t="s">
        <v>50</v>
      </c>
      <c r="C28" s="35">
        <v>43171.0</v>
      </c>
      <c r="D28" s="35">
        <v>43171.0</v>
      </c>
      <c r="E28" s="36">
        <v>0.0</v>
      </c>
      <c r="F28" s="41"/>
      <c r="G28" s="38"/>
      <c r="H28" s="39"/>
      <c r="I28" s="39"/>
      <c r="J28" s="40"/>
      <c r="K28" s="40"/>
      <c r="L28" s="40"/>
      <c r="M28" s="40"/>
      <c r="N28" s="40"/>
      <c r="O28" s="40"/>
      <c r="P28" s="40"/>
      <c r="Q28" s="40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1"/>
      <c r="BG28" s="38"/>
      <c r="BH28" s="39"/>
      <c r="BI28" s="39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</row>
    <row r="29" ht="21.0" customHeight="1">
      <c r="A29" s="25">
        <v>7.0</v>
      </c>
      <c r="B29" s="26" t="s">
        <v>51</v>
      </c>
      <c r="C29" s="27"/>
      <c r="D29" s="27"/>
      <c r="E29" s="28"/>
      <c r="F29" s="29"/>
      <c r="G29" s="30"/>
      <c r="H29" s="31"/>
      <c r="I29" s="31"/>
      <c r="J29" s="29"/>
      <c r="K29" s="32"/>
      <c r="L29" s="29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29"/>
      <c r="BG29" s="30"/>
      <c r="BH29" s="31"/>
      <c r="BI29" s="31"/>
      <c r="BJ29" s="29"/>
      <c r="BK29" s="32"/>
      <c r="BL29" s="29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</row>
    <row r="30" ht="17.25" customHeight="1" outlineLevel="1">
      <c r="A30" s="42" t="s">
        <v>52</v>
      </c>
      <c r="B30" s="34" t="s">
        <v>53</v>
      </c>
      <c r="C30" s="35">
        <v>43174.0</v>
      </c>
      <c r="D30" s="35">
        <v>43175.0</v>
      </c>
      <c r="E30" s="36">
        <v>0.0</v>
      </c>
      <c r="F30" s="46"/>
      <c r="G30" s="43"/>
      <c r="H30" s="44"/>
      <c r="I30" s="44"/>
      <c r="J30" s="44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74"/>
      <c r="Z30" s="74"/>
      <c r="AA30" s="74"/>
      <c r="AB30" s="74"/>
      <c r="AC30" s="74"/>
      <c r="AD30" s="74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6"/>
      <c r="BG30" s="43"/>
      <c r="BH30" s="44"/>
      <c r="BI30" s="44"/>
      <c r="BJ30" s="44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9"/>
      <c r="CH30" s="74"/>
      <c r="CI30" s="74"/>
      <c r="CJ30" s="74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</row>
    <row r="31" ht="17.25" customHeight="1" outlineLevel="1">
      <c r="A31" s="42" t="s">
        <v>54</v>
      </c>
      <c r="B31" s="34" t="s">
        <v>55</v>
      </c>
      <c r="C31" s="35">
        <v>43174.0</v>
      </c>
      <c r="D31" s="35">
        <v>43175.0</v>
      </c>
      <c r="E31" s="36">
        <v>0.0</v>
      </c>
      <c r="F31" s="46"/>
      <c r="G31" s="43"/>
      <c r="H31" s="44"/>
      <c r="I31" s="44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74"/>
      <c r="Z31" s="74"/>
      <c r="AA31" s="74"/>
      <c r="AB31" s="74"/>
      <c r="AC31" s="75"/>
      <c r="AD31" s="74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6"/>
      <c r="BG31" s="43"/>
      <c r="BH31" s="44"/>
      <c r="BI31" s="44"/>
      <c r="BJ31" s="44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77"/>
      <c r="CI31" s="77"/>
      <c r="CJ31" s="77"/>
      <c r="CK31" s="77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</row>
    <row r="32" ht="21.0" customHeight="1">
      <c r="A32" s="25">
        <v>8.0</v>
      </c>
      <c r="B32" s="26" t="s">
        <v>56</v>
      </c>
      <c r="C32" s="27"/>
      <c r="D32" s="27"/>
      <c r="E32" s="28"/>
      <c r="F32" s="29"/>
      <c r="G32" s="30"/>
      <c r="H32" s="31"/>
      <c r="I32" s="31"/>
      <c r="J32" s="29"/>
      <c r="K32" s="32"/>
      <c r="L32" s="29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29"/>
      <c r="BG32" s="30"/>
      <c r="BH32" s="31"/>
      <c r="BI32" s="31"/>
      <c r="BJ32" s="29"/>
      <c r="BK32" s="32"/>
      <c r="BL32" s="29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</row>
    <row r="33" ht="17.25" customHeight="1" outlineLevel="1">
      <c r="A33" s="42" t="s">
        <v>57</v>
      </c>
      <c r="B33" s="34" t="s">
        <v>58</v>
      </c>
      <c r="C33" s="35">
        <v>43174.0</v>
      </c>
      <c r="D33" s="35">
        <v>43175.0</v>
      </c>
      <c r="E33" s="36">
        <v>0.0</v>
      </c>
      <c r="F33" s="46"/>
      <c r="G33" s="43"/>
      <c r="H33" s="44"/>
      <c r="I33" s="44"/>
      <c r="J33" s="44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6"/>
      <c r="BG33" s="43"/>
      <c r="BH33" s="44"/>
      <c r="BI33" s="44"/>
      <c r="BJ33" s="44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9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</row>
    <row r="34" ht="17.25" customHeight="1" outlineLevel="1">
      <c r="A34" s="42" t="s">
        <v>59</v>
      </c>
      <c r="B34" s="34" t="s">
        <v>60</v>
      </c>
      <c r="C34" s="35">
        <v>43174.0</v>
      </c>
      <c r="D34" s="35">
        <v>43175.0</v>
      </c>
      <c r="E34" s="36">
        <v>0.0</v>
      </c>
      <c r="F34" s="46"/>
      <c r="G34" s="43"/>
      <c r="H34" s="44"/>
      <c r="I34" s="44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6"/>
      <c r="BG34" s="43"/>
      <c r="BH34" s="44"/>
      <c r="BI34" s="44"/>
      <c r="BJ34" s="44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9"/>
      <c r="CI34" s="49"/>
      <c r="CJ34" s="49"/>
      <c r="CK34" s="49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</row>
    <row r="35" ht="17.25" customHeight="1" outlineLevel="1">
      <c r="A35" s="42" t="s">
        <v>61</v>
      </c>
      <c r="B35" s="34" t="s">
        <v>62</v>
      </c>
      <c r="C35" s="35">
        <v>43174.0</v>
      </c>
      <c r="D35" s="35">
        <v>43175.0</v>
      </c>
      <c r="E35" s="36">
        <v>0.0</v>
      </c>
      <c r="F35" s="46"/>
      <c r="G35" s="43"/>
      <c r="H35" s="44"/>
      <c r="I35" s="44"/>
      <c r="J35" s="44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6"/>
      <c r="BG35" s="43"/>
      <c r="BH35" s="44"/>
      <c r="BI35" s="44"/>
      <c r="BJ35" s="44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9"/>
      <c r="CI35" s="49"/>
      <c r="CJ35" s="49"/>
      <c r="CK35" s="49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</row>
    <row r="36" ht="21.0" customHeight="1">
      <c r="A36" s="25">
        <v>9.0</v>
      </c>
      <c r="B36" s="26" t="s">
        <v>63</v>
      </c>
      <c r="C36" s="27"/>
      <c r="D36" s="27"/>
      <c r="E36" s="28"/>
      <c r="F36" s="29"/>
      <c r="G36" s="30"/>
      <c r="H36" s="31"/>
      <c r="I36" s="31"/>
      <c r="J36" s="29"/>
      <c r="K36" s="32"/>
      <c r="L36" s="29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29"/>
      <c r="BG36" s="30"/>
      <c r="BH36" s="31"/>
      <c r="BI36" s="31"/>
      <c r="BJ36" s="29"/>
      <c r="BK36" s="32"/>
      <c r="BL36" s="29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</row>
    <row r="37" ht="17.25" customHeight="1" outlineLevel="1">
      <c r="A37" s="42" t="s">
        <v>64</v>
      </c>
      <c r="B37" s="34" t="s">
        <v>65</v>
      </c>
      <c r="C37" s="35">
        <v>43174.0</v>
      </c>
      <c r="D37" s="35">
        <v>43175.0</v>
      </c>
      <c r="E37" s="36">
        <v>0.0</v>
      </c>
      <c r="F37" s="46"/>
      <c r="G37" s="43"/>
      <c r="H37" s="44"/>
      <c r="I37" s="44"/>
      <c r="J37" s="44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6"/>
      <c r="BG37" s="43"/>
      <c r="BH37" s="44"/>
      <c r="BI37" s="44"/>
      <c r="BJ37" s="44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9"/>
      <c r="CM37" s="49"/>
      <c r="CN37" s="49"/>
      <c r="CO37" s="49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</row>
    <row r="38" ht="17.25" customHeight="1" outlineLevel="1">
      <c r="A38" s="42" t="s">
        <v>66</v>
      </c>
      <c r="B38" s="34" t="s">
        <v>67</v>
      </c>
      <c r="C38" s="35">
        <v>43174.0</v>
      </c>
      <c r="D38" s="35">
        <v>43175.0</v>
      </c>
      <c r="E38" s="36">
        <v>0.0</v>
      </c>
      <c r="F38" s="46"/>
      <c r="G38" s="43"/>
      <c r="H38" s="44"/>
      <c r="I38" s="44"/>
      <c r="J38" s="44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6"/>
      <c r="BG38" s="43"/>
      <c r="BH38" s="44"/>
      <c r="BI38" s="44"/>
      <c r="BJ38" s="44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9"/>
      <c r="CM38" s="49"/>
      <c r="CN38" s="49"/>
      <c r="CO38" s="49"/>
      <c r="CP38" s="45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</row>
    <row r="39" ht="21.0" customHeight="1">
      <c r="A39" s="25">
        <v>10.0</v>
      </c>
      <c r="B39" s="26" t="s">
        <v>68</v>
      </c>
      <c r="C39" s="27"/>
      <c r="D39" s="27"/>
      <c r="E39" s="28"/>
      <c r="F39" s="29"/>
      <c r="G39" s="30"/>
      <c r="H39" s="31"/>
      <c r="I39" s="31"/>
      <c r="J39" s="29"/>
      <c r="K39" s="32"/>
      <c r="L39" s="29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29"/>
      <c r="BG39" s="30"/>
      <c r="BH39" s="31"/>
      <c r="BI39" s="31"/>
      <c r="BJ39" s="29"/>
      <c r="BK39" s="32"/>
      <c r="BL39" s="29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</row>
    <row r="40" ht="17.25" customHeight="1" outlineLevel="1">
      <c r="A40" s="42" t="s">
        <v>69</v>
      </c>
      <c r="B40" s="34" t="s">
        <v>70</v>
      </c>
      <c r="C40" s="35">
        <v>43174.0</v>
      </c>
      <c r="D40" s="35">
        <v>43175.0</v>
      </c>
      <c r="E40" s="36">
        <v>0.0</v>
      </c>
      <c r="F40" s="46"/>
      <c r="G40" s="43"/>
      <c r="H40" s="44"/>
      <c r="I40" s="44"/>
      <c r="J40" s="44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6"/>
      <c r="BG40" s="43"/>
      <c r="BH40" s="44"/>
      <c r="BI40" s="44"/>
      <c r="BJ40" s="44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9"/>
      <c r="CQ40" s="49"/>
      <c r="CR40" s="49"/>
      <c r="CS40" s="49"/>
      <c r="CT40" s="49"/>
      <c r="CU40" s="49"/>
      <c r="CV40" s="49"/>
      <c r="CW40" s="45"/>
      <c r="CX40" s="45"/>
      <c r="CY40" s="45"/>
      <c r="CZ40" s="45"/>
      <c r="DA40" s="45"/>
      <c r="DB40" s="45"/>
      <c r="DC40" s="45"/>
      <c r="DD40" s="45"/>
      <c r="DE40" s="45"/>
    </row>
    <row r="41" ht="17.25" customHeight="1" outlineLevel="1">
      <c r="A41" s="42" t="s">
        <v>71</v>
      </c>
      <c r="B41" s="34" t="s">
        <v>72</v>
      </c>
      <c r="C41" s="35">
        <v>43174.0</v>
      </c>
      <c r="D41" s="35">
        <v>43175.0</v>
      </c>
      <c r="E41" s="36">
        <v>0.0</v>
      </c>
      <c r="F41" s="46"/>
      <c r="G41" s="43"/>
      <c r="H41" s="44"/>
      <c r="I41" s="44"/>
      <c r="J41" s="44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6"/>
      <c r="BG41" s="43"/>
      <c r="BH41" s="44"/>
      <c r="BI41" s="44"/>
      <c r="BJ41" s="44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9"/>
      <c r="CQ41" s="49"/>
      <c r="CR41" s="49"/>
      <c r="CS41" s="49"/>
      <c r="CT41" s="49"/>
      <c r="CU41" s="49"/>
      <c r="CV41" s="49"/>
      <c r="CW41" s="45"/>
      <c r="CX41" s="45"/>
      <c r="CY41" s="45"/>
      <c r="CZ41" s="45"/>
      <c r="DA41" s="45"/>
      <c r="DB41" s="45"/>
      <c r="DC41" s="45"/>
      <c r="DD41" s="45"/>
      <c r="DE41" s="45"/>
    </row>
    <row r="42" ht="21.0" customHeight="1">
      <c r="A42" s="25">
        <v>11.0</v>
      </c>
      <c r="B42" s="26" t="s">
        <v>73</v>
      </c>
      <c r="C42" s="27"/>
      <c r="D42" s="27"/>
      <c r="E42" s="28"/>
      <c r="F42" s="29"/>
      <c r="G42" s="30"/>
      <c r="H42" s="31"/>
      <c r="I42" s="31"/>
      <c r="J42" s="29"/>
      <c r="K42" s="32"/>
      <c r="L42" s="29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29"/>
      <c r="BG42" s="30"/>
      <c r="BH42" s="31"/>
      <c r="BI42" s="31"/>
      <c r="BJ42" s="29"/>
      <c r="BK42" s="32"/>
      <c r="BL42" s="29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</row>
    <row r="43" ht="17.25" customHeight="1" outlineLevel="1">
      <c r="A43" s="42" t="s">
        <v>74</v>
      </c>
      <c r="B43" s="34" t="s">
        <v>75</v>
      </c>
      <c r="C43" s="35">
        <v>43174.0</v>
      </c>
      <c r="D43" s="35">
        <v>43175.0</v>
      </c>
      <c r="E43" s="36">
        <v>0.0</v>
      </c>
      <c r="F43" s="46"/>
      <c r="G43" s="43"/>
      <c r="H43" s="44"/>
      <c r="I43" s="44"/>
      <c r="J43" s="44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6"/>
      <c r="BG43" s="43"/>
      <c r="BH43" s="44"/>
      <c r="BI43" s="44"/>
      <c r="BJ43" s="44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9"/>
      <c r="CX43" s="49"/>
      <c r="CY43" s="49"/>
      <c r="CZ43" s="49"/>
      <c r="DA43" s="45"/>
      <c r="DB43" s="45"/>
      <c r="DC43" s="45"/>
      <c r="DD43" s="45"/>
      <c r="DE43" s="45"/>
    </row>
    <row r="44" ht="17.25" customHeight="1" outlineLevel="1">
      <c r="A44" s="42" t="s">
        <v>76</v>
      </c>
      <c r="B44" s="34" t="s">
        <v>77</v>
      </c>
      <c r="C44" s="35">
        <v>43174.0</v>
      </c>
      <c r="D44" s="35">
        <v>43175.0</v>
      </c>
      <c r="E44" s="36">
        <v>0.0</v>
      </c>
      <c r="F44" s="46"/>
      <c r="G44" s="43"/>
      <c r="H44" s="44"/>
      <c r="I44" s="44"/>
      <c r="J44" s="44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6"/>
      <c r="BG44" s="43"/>
      <c r="BH44" s="44"/>
      <c r="BI44" s="44"/>
      <c r="BJ44" s="44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9"/>
      <c r="DB44" s="49"/>
      <c r="DC44" s="49"/>
      <c r="DD44" s="45"/>
      <c r="DE44" s="45"/>
    </row>
  </sheetData>
  <mergeCells count="37">
    <mergeCell ref="AF1:AR1"/>
    <mergeCell ref="AS1:BE1"/>
    <mergeCell ref="BF1:BR1"/>
    <mergeCell ref="BS1:CE1"/>
    <mergeCell ref="CF1:CR1"/>
    <mergeCell ref="CS1:DE1"/>
    <mergeCell ref="F2:I2"/>
    <mergeCell ref="J2:M2"/>
    <mergeCell ref="N2:R2"/>
    <mergeCell ref="S2:V2"/>
    <mergeCell ref="A1:A2"/>
    <mergeCell ref="B1:B2"/>
    <mergeCell ref="C1:C2"/>
    <mergeCell ref="D1:D2"/>
    <mergeCell ref="E1:E2"/>
    <mergeCell ref="F1:R1"/>
    <mergeCell ref="S1:AE1"/>
    <mergeCell ref="W2:Z2"/>
    <mergeCell ref="AA2:AE2"/>
    <mergeCell ref="AF2:AI2"/>
    <mergeCell ref="AJ2:AN2"/>
    <mergeCell ref="AO2:AR2"/>
    <mergeCell ref="AS2:AV2"/>
    <mergeCell ref="AW2:BA2"/>
    <mergeCell ref="CF2:CI2"/>
    <mergeCell ref="CJ2:CN2"/>
    <mergeCell ref="CO2:CR2"/>
    <mergeCell ref="CS2:CV2"/>
    <mergeCell ref="CW2:DA2"/>
    <mergeCell ref="DB2:DE2"/>
    <mergeCell ref="BB2:BE2"/>
    <mergeCell ref="BF2:BI2"/>
    <mergeCell ref="BJ2:BM2"/>
    <mergeCell ref="BN2:BR2"/>
    <mergeCell ref="BS2:BV2"/>
    <mergeCell ref="BW2:CA2"/>
    <mergeCell ref="CB2:CE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11.13"/>
    <col customWidth="1" min="2" max="2" width="55.13"/>
    <col customWidth="1" min="3" max="3" width="10.5"/>
    <col customWidth="1" min="4" max="4" width="13.0"/>
    <col customWidth="1" min="5" max="5" width="11.63"/>
    <col customWidth="1" min="6" max="109" width="3.0"/>
  </cols>
  <sheetData>
    <row r="1" ht="17.25" customHeight="1">
      <c r="A1" s="1" t="s">
        <v>79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S1" s="5" t="s">
        <v>6</v>
      </c>
      <c r="AF1" s="6" t="s">
        <v>7</v>
      </c>
      <c r="AS1" s="7" t="s">
        <v>8</v>
      </c>
      <c r="BE1" s="8"/>
      <c r="BF1" s="4" t="s">
        <v>9</v>
      </c>
      <c r="BS1" s="5" t="s">
        <v>10</v>
      </c>
      <c r="CF1" s="6" t="s">
        <v>11</v>
      </c>
      <c r="CS1" s="7" t="s">
        <v>12</v>
      </c>
      <c r="DE1" s="8"/>
    </row>
    <row r="2" ht="17.25" customHeight="1">
      <c r="F2" s="9" t="s">
        <v>13</v>
      </c>
      <c r="G2" s="10"/>
      <c r="H2" s="10"/>
      <c r="I2" s="11"/>
      <c r="J2" s="9" t="s">
        <v>14</v>
      </c>
      <c r="K2" s="10"/>
      <c r="L2" s="10"/>
      <c r="M2" s="11"/>
      <c r="N2" s="9" t="s">
        <v>15</v>
      </c>
      <c r="O2" s="10"/>
      <c r="P2" s="10"/>
      <c r="Q2" s="10"/>
      <c r="R2" s="11"/>
      <c r="S2" s="12" t="s">
        <v>16</v>
      </c>
      <c r="T2" s="10"/>
      <c r="U2" s="10"/>
      <c r="V2" s="11"/>
      <c r="W2" s="12" t="s">
        <v>17</v>
      </c>
      <c r="X2" s="10"/>
      <c r="Y2" s="10"/>
      <c r="Z2" s="11"/>
      <c r="AA2" s="12" t="s">
        <v>18</v>
      </c>
      <c r="AB2" s="10"/>
      <c r="AC2" s="10"/>
      <c r="AD2" s="10"/>
      <c r="AE2" s="11"/>
      <c r="AF2" s="13" t="s">
        <v>19</v>
      </c>
      <c r="AG2" s="10"/>
      <c r="AH2" s="10"/>
      <c r="AI2" s="11"/>
      <c r="AJ2" s="13" t="s">
        <v>20</v>
      </c>
      <c r="AK2" s="10"/>
      <c r="AL2" s="10"/>
      <c r="AM2" s="10"/>
      <c r="AN2" s="11"/>
      <c r="AO2" s="13" t="s">
        <v>21</v>
      </c>
      <c r="AP2" s="10"/>
      <c r="AQ2" s="10"/>
      <c r="AR2" s="11"/>
      <c r="AS2" s="14" t="s">
        <v>22</v>
      </c>
      <c r="AT2" s="10"/>
      <c r="AU2" s="10"/>
      <c r="AV2" s="11"/>
      <c r="AW2" s="14" t="s">
        <v>23</v>
      </c>
      <c r="AX2" s="10"/>
      <c r="AY2" s="10"/>
      <c r="AZ2" s="10"/>
      <c r="BA2" s="11"/>
      <c r="BB2" s="14" t="s">
        <v>24</v>
      </c>
      <c r="BC2" s="10"/>
      <c r="BD2" s="10"/>
      <c r="BE2" s="11"/>
      <c r="BF2" s="9" t="s">
        <v>13</v>
      </c>
      <c r="BG2" s="10"/>
      <c r="BH2" s="10"/>
      <c r="BI2" s="11"/>
      <c r="BJ2" s="9" t="s">
        <v>14</v>
      </c>
      <c r="BK2" s="10"/>
      <c r="BL2" s="10"/>
      <c r="BM2" s="11"/>
      <c r="BN2" s="9" t="s">
        <v>15</v>
      </c>
      <c r="BO2" s="10"/>
      <c r="BP2" s="10"/>
      <c r="BQ2" s="10"/>
      <c r="BR2" s="11"/>
      <c r="BS2" s="12" t="s">
        <v>16</v>
      </c>
      <c r="BT2" s="10"/>
      <c r="BU2" s="10"/>
      <c r="BV2" s="11"/>
      <c r="BW2" s="12" t="s">
        <v>17</v>
      </c>
      <c r="BX2" s="10"/>
      <c r="BY2" s="10"/>
      <c r="BZ2" s="10"/>
      <c r="CA2" s="11"/>
      <c r="CB2" s="12" t="s">
        <v>18</v>
      </c>
      <c r="CC2" s="10"/>
      <c r="CD2" s="10"/>
      <c r="CE2" s="11"/>
      <c r="CF2" s="13" t="s">
        <v>19</v>
      </c>
      <c r="CG2" s="10"/>
      <c r="CH2" s="10"/>
      <c r="CI2" s="11"/>
      <c r="CJ2" s="13" t="s">
        <v>20</v>
      </c>
      <c r="CK2" s="10"/>
      <c r="CL2" s="10"/>
      <c r="CM2" s="10"/>
      <c r="CN2" s="11"/>
      <c r="CO2" s="13" t="s">
        <v>21</v>
      </c>
      <c r="CP2" s="10"/>
      <c r="CQ2" s="10"/>
      <c r="CR2" s="11"/>
      <c r="CS2" s="14" t="s">
        <v>22</v>
      </c>
      <c r="CT2" s="10"/>
      <c r="CU2" s="10"/>
      <c r="CV2" s="11"/>
      <c r="CW2" s="14" t="s">
        <v>23</v>
      </c>
      <c r="CX2" s="10"/>
      <c r="CY2" s="10"/>
      <c r="CZ2" s="10"/>
      <c r="DA2" s="11"/>
      <c r="DB2" s="14" t="s">
        <v>24</v>
      </c>
      <c r="DC2" s="10"/>
      <c r="DD2" s="10"/>
      <c r="DE2" s="11"/>
    </row>
    <row r="3" ht="17.25" customHeight="1">
      <c r="A3" s="15"/>
      <c r="B3" s="15"/>
      <c r="C3" s="16"/>
      <c r="D3" s="16"/>
      <c r="E3" s="15"/>
      <c r="F3" s="17">
        <v>5.0</v>
      </c>
      <c r="G3" s="18">
        <f t="shared" ref="G3:I3" si="1">F3+7</f>
        <v>12</v>
      </c>
      <c r="H3" s="18">
        <f t="shared" si="1"/>
        <v>19</v>
      </c>
      <c r="I3" s="18">
        <f t="shared" si="1"/>
        <v>26</v>
      </c>
      <c r="J3" s="17">
        <v>2.0</v>
      </c>
      <c r="K3" s="18">
        <f t="shared" ref="K3:M3" si="2">J3+7</f>
        <v>9</v>
      </c>
      <c r="L3" s="18">
        <f t="shared" si="2"/>
        <v>16</v>
      </c>
      <c r="M3" s="18">
        <f t="shared" si="2"/>
        <v>23</v>
      </c>
      <c r="N3" s="17">
        <v>2.0</v>
      </c>
      <c r="O3" s="18">
        <f>N3+7</f>
        <v>9</v>
      </c>
      <c r="P3" s="18">
        <f t="shared" ref="P3:R3" si="3">INDEX(3:3,COLUMN()-1)+7</f>
        <v>16</v>
      </c>
      <c r="Q3" s="18">
        <f t="shared" si="3"/>
        <v>23</v>
      </c>
      <c r="R3" s="18">
        <f t="shared" si="3"/>
        <v>30</v>
      </c>
      <c r="S3" s="19">
        <v>6.0</v>
      </c>
      <c r="T3" s="20">
        <f t="shared" ref="T3:V3" si="4">INDEX(3:3,COLUMN()-1)+7</f>
        <v>13</v>
      </c>
      <c r="U3" s="20">
        <f t="shared" si="4"/>
        <v>20</v>
      </c>
      <c r="V3" s="20">
        <f t="shared" si="4"/>
        <v>27</v>
      </c>
      <c r="W3" s="19">
        <v>4.0</v>
      </c>
      <c r="X3" s="20">
        <f t="shared" ref="X3:Z3" si="5">INDEX(3:3,COLUMN()-1)+7</f>
        <v>11</v>
      </c>
      <c r="Y3" s="20">
        <f t="shared" si="5"/>
        <v>18</v>
      </c>
      <c r="Z3" s="20">
        <f t="shared" si="5"/>
        <v>25</v>
      </c>
      <c r="AA3" s="19">
        <v>1.0</v>
      </c>
      <c r="AB3" s="20">
        <f t="shared" ref="AB3:AE3" si="6">INDEX(3:3,COLUMN()-1)+7</f>
        <v>8</v>
      </c>
      <c r="AC3" s="20">
        <f t="shared" si="6"/>
        <v>15</v>
      </c>
      <c r="AD3" s="20">
        <f t="shared" si="6"/>
        <v>22</v>
      </c>
      <c r="AE3" s="20">
        <f t="shared" si="6"/>
        <v>29</v>
      </c>
      <c r="AF3" s="21">
        <v>6.0</v>
      </c>
      <c r="AG3" s="22">
        <f t="shared" ref="AG3:AI3" si="7">INDEX(3:3,COLUMN()-1)+7</f>
        <v>13</v>
      </c>
      <c r="AH3" s="22">
        <f t="shared" si="7"/>
        <v>20</v>
      </c>
      <c r="AI3" s="22">
        <f t="shared" si="7"/>
        <v>27</v>
      </c>
      <c r="AJ3" s="21">
        <v>3.0</v>
      </c>
      <c r="AK3" s="22">
        <f t="shared" ref="AK3:AN3" si="8">INDEX(3:3,COLUMN()-1)+7</f>
        <v>10</v>
      </c>
      <c r="AL3" s="22">
        <f t="shared" si="8"/>
        <v>17</v>
      </c>
      <c r="AM3" s="22">
        <f t="shared" si="8"/>
        <v>24</v>
      </c>
      <c r="AN3" s="22">
        <f t="shared" si="8"/>
        <v>31</v>
      </c>
      <c r="AO3" s="21">
        <v>7.0</v>
      </c>
      <c r="AP3" s="22">
        <f t="shared" ref="AP3:AR3" si="9">INDEX(3:3,COLUMN()-1)+7</f>
        <v>14</v>
      </c>
      <c r="AQ3" s="22">
        <f t="shared" si="9"/>
        <v>21</v>
      </c>
      <c r="AR3" s="22">
        <f t="shared" si="9"/>
        <v>28</v>
      </c>
      <c r="AS3" s="23">
        <v>5.0</v>
      </c>
      <c r="AT3" s="24">
        <f t="shared" ref="AT3:AV3" si="10">INDEX(3:3,COLUMN()-1)+7</f>
        <v>12</v>
      </c>
      <c r="AU3" s="24">
        <f t="shared" si="10"/>
        <v>19</v>
      </c>
      <c r="AV3" s="24">
        <f t="shared" si="10"/>
        <v>26</v>
      </c>
      <c r="AW3" s="23">
        <v>2.0</v>
      </c>
      <c r="AX3" s="24">
        <f t="shared" ref="AX3:BA3" si="11">INDEX(3:3,COLUMN()-1)+7</f>
        <v>9</v>
      </c>
      <c r="AY3" s="24">
        <f t="shared" si="11"/>
        <v>16</v>
      </c>
      <c r="AZ3" s="24">
        <f t="shared" si="11"/>
        <v>23</v>
      </c>
      <c r="BA3" s="24">
        <f t="shared" si="11"/>
        <v>30</v>
      </c>
      <c r="BB3" s="23">
        <v>7.0</v>
      </c>
      <c r="BC3" s="24">
        <f t="shared" ref="BC3:BE3" si="12">INDEX(3:3,COLUMN()-1)+7</f>
        <v>14</v>
      </c>
      <c r="BD3" s="24">
        <f t="shared" si="12"/>
        <v>21</v>
      </c>
      <c r="BE3" s="24">
        <f t="shared" si="12"/>
        <v>28</v>
      </c>
      <c r="BF3" s="17">
        <v>4.0</v>
      </c>
      <c r="BG3" s="18">
        <f t="shared" ref="BG3:BI3" si="13">BF3+7</f>
        <v>11</v>
      </c>
      <c r="BH3" s="18">
        <f t="shared" si="13"/>
        <v>18</v>
      </c>
      <c r="BI3" s="18">
        <f t="shared" si="13"/>
        <v>25</v>
      </c>
      <c r="BJ3" s="17">
        <v>1.0</v>
      </c>
      <c r="BK3" s="18">
        <f t="shared" ref="BK3:BM3" si="14">BJ3+7</f>
        <v>8</v>
      </c>
      <c r="BL3" s="18">
        <f t="shared" si="14"/>
        <v>15</v>
      </c>
      <c r="BM3" s="18">
        <f t="shared" si="14"/>
        <v>22</v>
      </c>
      <c r="BN3" s="17">
        <v>1.0</v>
      </c>
      <c r="BO3" s="18">
        <f>BN3+7</f>
        <v>8</v>
      </c>
      <c r="BP3" s="18">
        <f t="shared" ref="BP3:BR3" si="15">INDEX(3:3,COLUMN()-1)+7</f>
        <v>15</v>
      </c>
      <c r="BQ3" s="18">
        <f t="shared" si="15"/>
        <v>22</v>
      </c>
      <c r="BR3" s="18">
        <f t="shared" si="15"/>
        <v>29</v>
      </c>
      <c r="BS3" s="19">
        <v>6.0</v>
      </c>
      <c r="BT3" s="20">
        <f t="shared" ref="BT3:BV3" si="16">INDEX(3:3,COLUMN()-1)+7</f>
        <v>13</v>
      </c>
      <c r="BU3" s="20">
        <f t="shared" si="16"/>
        <v>20</v>
      </c>
      <c r="BV3" s="20">
        <f t="shared" si="16"/>
        <v>27</v>
      </c>
      <c r="BW3" s="19">
        <v>3.0</v>
      </c>
      <c r="BX3" s="20">
        <f t="shared" ref="BX3:CA3" si="17">INDEX(3:3,COLUMN()-1)+7</f>
        <v>10</v>
      </c>
      <c r="BY3" s="20">
        <f t="shared" si="17"/>
        <v>17</v>
      </c>
      <c r="BZ3" s="20">
        <f t="shared" si="17"/>
        <v>24</v>
      </c>
      <c r="CA3" s="20">
        <f t="shared" si="17"/>
        <v>31</v>
      </c>
      <c r="CB3" s="19">
        <v>7.0</v>
      </c>
      <c r="CC3" s="20">
        <f t="shared" ref="CC3:CE3" si="18">INDEX(3:3,COLUMN()-1)+7</f>
        <v>14</v>
      </c>
      <c r="CD3" s="20">
        <f t="shared" si="18"/>
        <v>21</v>
      </c>
      <c r="CE3" s="20">
        <f t="shared" si="18"/>
        <v>28</v>
      </c>
      <c r="CF3" s="21">
        <v>5.0</v>
      </c>
      <c r="CG3" s="22">
        <f t="shared" ref="CG3:CI3" si="19">INDEX(3:3,COLUMN()-1)+7</f>
        <v>12</v>
      </c>
      <c r="CH3" s="22">
        <f t="shared" si="19"/>
        <v>19</v>
      </c>
      <c r="CI3" s="22">
        <f t="shared" si="19"/>
        <v>26</v>
      </c>
      <c r="CJ3" s="21">
        <v>2.0</v>
      </c>
      <c r="CK3" s="22">
        <f t="shared" ref="CK3:CN3" si="20">INDEX(3:3,COLUMN()-1)+7</f>
        <v>9</v>
      </c>
      <c r="CL3" s="22">
        <f t="shared" si="20"/>
        <v>16</v>
      </c>
      <c r="CM3" s="22">
        <f t="shared" si="20"/>
        <v>23</v>
      </c>
      <c r="CN3" s="22">
        <f t="shared" si="20"/>
        <v>30</v>
      </c>
      <c r="CO3" s="21">
        <v>6.0</v>
      </c>
      <c r="CP3" s="22">
        <f t="shared" ref="CP3:CR3" si="21">INDEX(3:3,COLUMN()-1)+7</f>
        <v>13</v>
      </c>
      <c r="CQ3" s="22">
        <f t="shared" si="21"/>
        <v>20</v>
      </c>
      <c r="CR3" s="22">
        <f t="shared" si="21"/>
        <v>27</v>
      </c>
      <c r="CS3" s="23">
        <v>4.0</v>
      </c>
      <c r="CT3" s="24">
        <f t="shared" ref="CT3:CV3" si="22">INDEX(3:3,COLUMN()-1)+7</f>
        <v>11</v>
      </c>
      <c r="CU3" s="24">
        <f t="shared" si="22"/>
        <v>18</v>
      </c>
      <c r="CV3" s="24">
        <f t="shared" si="22"/>
        <v>25</v>
      </c>
      <c r="CW3" s="23">
        <v>1.0</v>
      </c>
      <c r="CX3" s="24">
        <f t="shared" ref="CX3:DA3" si="23">INDEX(3:3,COLUMN()-1)+7</f>
        <v>8</v>
      </c>
      <c r="CY3" s="24">
        <f t="shared" si="23"/>
        <v>15</v>
      </c>
      <c r="CZ3" s="24">
        <f t="shared" si="23"/>
        <v>22</v>
      </c>
      <c r="DA3" s="24">
        <f t="shared" si="23"/>
        <v>29</v>
      </c>
      <c r="DB3" s="23">
        <v>6.0</v>
      </c>
      <c r="DC3" s="24">
        <f t="shared" ref="DC3:DE3" si="24">INDEX(3:3,COLUMN()-1)+7</f>
        <v>13</v>
      </c>
      <c r="DD3" s="24">
        <f t="shared" si="24"/>
        <v>20</v>
      </c>
      <c r="DE3" s="24">
        <f t="shared" si="24"/>
        <v>27</v>
      </c>
    </row>
    <row r="4" ht="21.0" customHeight="1">
      <c r="A4" s="25">
        <v>1.0</v>
      </c>
      <c r="B4" s="26" t="s">
        <v>25</v>
      </c>
      <c r="C4" s="27"/>
      <c r="D4" s="27"/>
      <c r="E4" s="28"/>
      <c r="F4" s="29"/>
      <c r="G4" s="30"/>
      <c r="H4" s="31"/>
      <c r="I4" s="31"/>
      <c r="J4" s="29"/>
      <c r="K4" s="32"/>
      <c r="L4" s="29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29"/>
      <c r="BG4" s="30"/>
      <c r="BH4" s="31"/>
      <c r="BI4" s="31"/>
      <c r="BJ4" s="29"/>
      <c r="BK4" s="32"/>
      <c r="BL4" s="29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</row>
    <row r="5" ht="17.25" customHeight="1" outlineLevel="1">
      <c r="A5" s="33">
        <v>43101.0</v>
      </c>
      <c r="B5" s="34" t="s">
        <v>26</v>
      </c>
      <c r="C5" s="35">
        <v>46027.0</v>
      </c>
      <c r="D5" s="35">
        <v>46031.0</v>
      </c>
      <c r="E5" s="36">
        <v>1.0</v>
      </c>
      <c r="F5" s="37"/>
      <c r="G5" s="38"/>
      <c r="H5" s="39"/>
      <c r="I5" s="39"/>
      <c r="J5" s="39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1"/>
      <c r="BG5" s="38"/>
      <c r="BH5" s="39"/>
      <c r="BI5" s="39"/>
      <c r="BJ5" s="39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</row>
    <row r="6" ht="17.25" customHeight="1" outlineLevel="1">
      <c r="A6" s="42" t="s">
        <v>27</v>
      </c>
      <c r="B6" s="34" t="s">
        <v>28</v>
      </c>
      <c r="C6" s="35">
        <v>46027.0</v>
      </c>
      <c r="D6" s="35">
        <v>46031.0</v>
      </c>
      <c r="E6" s="36">
        <v>1.0</v>
      </c>
      <c r="F6" s="37"/>
      <c r="G6" s="43"/>
      <c r="H6" s="44"/>
      <c r="I6" s="44"/>
      <c r="J6" s="44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6"/>
      <c r="BG6" s="43"/>
      <c r="BH6" s="44"/>
      <c r="BI6" s="44"/>
      <c r="BJ6" s="44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</row>
    <row r="7" ht="17.25" customHeight="1" outlineLevel="1">
      <c r="A7" s="33">
        <v>43160.0</v>
      </c>
      <c r="B7" s="34" t="s">
        <v>29</v>
      </c>
      <c r="C7" s="35">
        <v>46027.0</v>
      </c>
      <c r="D7" s="35">
        <v>46031.0</v>
      </c>
      <c r="E7" s="36">
        <v>1.0</v>
      </c>
      <c r="F7" s="37"/>
      <c r="G7" s="43"/>
      <c r="H7" s="44"/>
      <c r="I7" s="44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6"/>
      <c r="BG7" s="43"/>
      <c r="BH7" s="44"/>
      <c r="BI7" s="44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</row>
    <row r="8" ht="17.25" customHeight="1" outlineLevel="1">
      <c r="A8" s="33">
        <v>43191.0</v>
      </c>
      <c r="B8" s="34" t="s">
        <v>30</v>
      </c>
      <c r="C8" s="35">
        <v>46027.0</v>
      </c>
      <c r="D8" s="35">
        <v>46038.0</v>
      </c>
      <c r="E8" s="36">
        <v>2.0</v>
      </c>
      <c r="F8" s="37"/>
      <c r="G8" s="47"/>
      <c r="H8" s="44"/>
      <c r="I8" s="44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6"/>
      <c r="BG8" s="43"/>
      <c r="BH8" s="44"/>
      <c r="BI8" s="44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</row>
    <row r="9" ht="17.25" customHeight="1" outlineLevel="1">
      <c r="A9" s="33">
        <v>43221.0</v>
      </c>
      <c r="B9" s="34" t="s">
        <v>31</v>
      </c>
      <c r="C9" s="35">
        <v>46041.0</v>
      </c>
      <c r="D9" s="35">
        <v>46045.0</v>
      </c>
      <c r="E9" s="36">
        <v>1.0</v>
      </c>
      <c r="F9" s="46"/>
      <c r="G9" s="48"/>
      <c r="H9" s="49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6"/>
      <c r="BG9" s="43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</row>
    <row r="10" ht="17.25" customHeight="1" outlineLevel="1">
      <c r="A10" s="50">
        <v>43252.0</v>
      </c>
      <c r="B10" s="51" t="s">
        <v>32</v>
      </c>
      <c r="C10" s="52">
        <v>46041.0</v>
      </c>
      <c r="D10" s="52">
        <v>46045.0</v>
      </c>
      <c r="E10" s="53">
        <v>1.0</v>
      </c>
      <c r="F10" s="54"/>
      <c r="G10" s="48"/>
      <c r="H10" s="55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4"/>
      <c r="BG10" s="57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</row>
    <row r="11" ht="21.0" customHeight="1">
      <c r="A11" s="25">
        <v>2.0</v>
      </c>
      <c r="B11" s="58" t="s">
        <v>33</v>
      </c>
      <c r="C11" s="27"/>
      <c r="D11" s="27"/>
      <c r="E11" s="28"/>
      <c r="F11" s="29"/>
      <c r="G11" s="30"/>
      <c r="H11" s="31"/>
      <c r="I11" s="31"/>
      <c r="J11" s="29"/>
      <c r="K11" s="32"/>
      <c r="L11" s="29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29"/>
      <c r="BG11" s="30"/>
      <c r="BH11" s="31"/>
      <c r="BI11" s="31"/>
      <c r="BJ11" s="29"/>
      <c r="BK11" s="32"/>
      <c r="BL11" s="29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</row>
    <row r="12" ht="17.25" customHeight="1" outlineLevel="1">
      <c r="A12" s="33">
        <v>46024.0</v>
      </c>
      <c r="B12" s="34" t="s">
        <v>34</v>
      </c>
      <c r="C12" s="59">
        <v>46048.0</v>
      </c>
      <c r="D12" s="35">
        <v>46052.0</v>
      </c>
      <c r="E12" s="60">
        <v>1.0</v>
      </c>
      <c r="F12" s="41"/>
      <c r="G12" s="38"/>
      <c r="H12" s="39"/>
      <c r="I12" s="61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1"/>
      <c r="BG12" s="38"/>
      <c r="BH12" s="39"/>
      <c r="BI12" s="39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</row>
    <row r="13" ht="17.25" customHeight="1" outlineLevel="1">
      <c r="A13" s="33">
        <v>46055.0</v>
      </c>
      <c r="B13" s="34" t="s">
        <v>35</v>
      </c>
      <c r="C13" s="35">
        <v>46055.0</v>
      </c>
      <c r="D13" s="35">
        <v>46420.0</v>
      </c>
      <c r="E13" s="36">
        <v>50.0</v>
      </c>
      <c r="F13" s="46"/>
      <c r="G13" s="43"/>
      <c r="H13" s="44"/>
      <c r="I13" s="44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62"/>
      <c r="BG13" s="47"/>
      <c r="BH13" s="63"/>
      <c r="BI13" s="63"/>
      <c r="BJ13" s="49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</row>
    <row r="14" ht="17.25" customHeight="1" outlineLevel="1">
      <c r="A14" s="33">
        <v>46083.0</v>
      </c>
      <c r="B14" s="34" t="s">
        <v>36</v>
      </c>
      <c r="C14" s="35">
        <v>46055.0</v>
      </c>
      <c r="D14" s="35">
        <v>46420.0</v>
      </c>
      <c r="E14" s="36">
        <v>50.0</v>
      </c>
      <c r="F14" s="46"/>
      <c r="G14" s="43"/>
      <c r="H14" s="44"/>
      <c r="I14" s="44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62"/>
      <c r="BG14" s="47"/>
      <c r="BH14" s="63"/>
      <c r="BI14" s="63"/>
      <c r="BJ14" s="49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</row>
    <row r="15" ht="17.25" customHeight="1" outlineLevel="1">
      <c r="A15" s="33">
        <v>43192.0</v>
      </c>
      <c r="B15" s="34" t="s">
        <v>37</v>
      </c>
      <c r="C15" s="35">
        <v>46055.0</v>
      </c>
      <c r="D15" s="35">
        <v>46420.0</v>
      </c>
      <c r="E15" s="36">
        <v>50.0</v>
      </c>
      <c r="F15" s="46"/>
      <c r="G15" s="43"/>
      <c r="H15" s="44"/>
      <c r="I15" s="44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62"/>
      <c r="BG15" s="47"/>
      <c r="BH15" s="63"/>
      <c r="BI15" s="63"/>
      <c r="BJ15" s="49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</row>
    <row r="16" ht="21.0" customHeight="1">
      <c r="A16" s="25">
        <v>3.0</v>
      </c>
      <c r="B16" s="26" t="s">
        <v>38</v>
      </c>
      <c r="C16" s="27"/>
      <c r="D16" s="27"/>
      <c r="E16" s="28"/>
      <c r="F16" s="29"/>
      <c r="G16" s="30"/>
      <c r="H16" s="31"/>
      <c r="I16" s="31"/>
      <c r="J16" s="29"/>
      <c r="K16" s="32"/>
      <c r="L16" s="29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29"/>
      <c r="BG16" s="30"/>
      <c r="BH16" s="31"/>
      <c r="BI16" s="31"/>
      <c r="BJ16" s="29"/>
      <c r="BK16" s="32"/>
      <c r="BL16" s="29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</row>
    <row r="17" ht="17.25" customHeight="1" outlineLevel="1">
      <c r="A17" s="64">
        <v>46025.0</v>
      </c>
      <c r="B17" s="34" t="s">
        <v>39</v>
      </c>
      <c r="C17" s="35">
        <v>43172.0</v>
      </c>
      <c r="D17" s="35">
        <v>43172.0</v>
      </c>
      <c r="E17" s="36">
        <v>1.0</v>
      </c>
      <c r="F17" s="41"/>
      <c r="G17" s="38"/>
      <c r="H17" s="39"/>
      <c r="I17" s="78"/>
      <c r="J17" s="74"/>
      <c r="K17" s="74"/>
      <c r="L17" s="74"/>
      <c r="M17" s="74"/>
      <c r="N17" s="79"/>
      <c r="O17" s="79"/>
      <c r="P17" s="79"/>
      <c r="Q17" s="79"/>
      <c r="R17" s="65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80"/>
      <c r="BG17" s="81"/>
      <c r="BH17" s="78"/>
      <c r="BI17" s="78"/>
      <c r="BJ17" s="74"/>
      <c r="BK17" s="74"/>
      <c r="BL17" s="74"/>
      <c r="BM17" s="74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9"/>
      <c r="CZ17" s="79"/>
      <c r="DA17" s="79"/>
      <c r="DB17" s="79"/>
      <c r="DC17" s="79"/>
      <c r="DD17" s="79"/>
      <c r="DE17" s="79"/>
    </row>
    <row r="18" ht="17.25" customHeight="1" outlineLevel="1">
      <c r="A18" s="64">
        <v>46056.0</v>
      </c>
      <c r="B18" s="34" t="s">
        <v>40</v>
      </c>
      <c r="C18" s="35">
        <v>43173.0</v>
      </c>
      <c r="D18" s="35">
        <v>43173.0</v>
      </c>
      <c r="E18" s="36">
        <v>1.0</v>
      </c>
      <c r="F18" s="41"/>
      <c r="G18" s="38"/>
      <c r="H18" s="39"/>
      <c r="I18" s="78"/>
      <c r="J18" s="74"/>
      <c r="K18" s="74"/>
      <c r="L18" s="74"/>
      <c r="M18" s="74"/>
      <c r="N18" s="79"/>
      <c r="O18" s="79"/>
      <c r="P18" s="79"/>
      <c r="Q18" s="79"/>
      <c r="R18" s="65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80"/>
      <c r="BG18" s="81"/>
      <c r="BH18" s="78"/>
      <c r="BI18" s="78"/>
      <c r="BJ18" s="74"/>
      <c r="BK18" s="74"/>
      <c r="BL18" s="74"/>
      <c r="BM18" s="74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79"/>
      <c r="CY18" s="79"/>
      <c r="CZ18" s="79"/>
      <c r="DA18" s="79"/>
      <c r="DB18" s="79"/>
      <c r="DC18" s="79"/>
      <c r="DD18" s="79"/>
      <c r="DE18" s="79"/>
    </row>
    <row r="19" ht="17.25" customHeight="1" outlineLevel="1">
      <c r="A19" s="64">
        <v>46084.0</v>
      </c>
      <c r="B19" s="34" t="s">
        <v>41</v>
      </c>
      <c r="C19" s="35">
        <v>43171.0</v>
      </c>
      <c r="D19" s="35">
        <v>43171.0</v>
      </c>
      <c r="E19" s="36">
        <v>50.0</v>
      </c>
      <c r="F19" s="46"/>
      <c r="G19" s="43"/>
      <c r="H19" s="44"/>
      <c r="I19" s="82"/>
      <c r="J19" s="74"/>
      <c r="K19" s="74"/>
      <c r="L19" s="74"/>
      <c r="M19" s="74"/>
      <c r="N19" s="74"/>
      <c r="O19" s="74"/>
      <c r="P19" s="74"/>
      <c r="Q19" s="74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62"/>
      <c r="BG19" s="47"/>
      <c r="BH19" s="63"/>
      <c r="BI19" s="63"/>
      <c r="BJ19" s="49"/>
      <c r="BK19" s="49"/>
      <c r="BL19" s="49"/>
      <c r="BM19" s="49"/>
      <c r="BN19" s="49"/>
      <c r="BO19" s="49"/>
      <c r="BP19" s="49"/>
      <c r="BQ19" s="49"/>
      <c r="BR19" s="49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74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</row>
    <row r="20" ht="21.0" customHeight="1">
      <c r="A20" s="25">
        <v>4.0</v>
      </c>
      <c r="B20" s="26" t="s">
        <v>42</v>
      </c>
      <c r="C20" s="27"/>
      <c r="D20" s="27"/>
      <c r="E20" s="28"/>
      <c r="F20" s="29"/>
      <c r="G20" s="30"/>
      <c r="H20" s="31"/>
      <c r="I20" s="31"/>
      <c r="J20" s="29"/>
      <c r="K20" s="32"/>
      <c r="L20" s="29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29"/>
      <c r="BG20" s="30"/>
      <c r="BH20" s="31"/>
      <c r="BI20" s="31"/>
      <c r="BJ20" s="29"/>
      <c r="BK20" s="32"/>
      <c r="BL20" s="29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</row>
    <row r="21" ht="17.25" customHeight="1" outlineLevel="1">
      <c r="A21" s="33">
        <v>43104.0</v>
      </c>
      <c r="B21" s="34" t="s">
        <v>43</v>
      </c>
      <c r="C21" s="35">
        <v>43171.0</v>
      </c>
      <c r="D21" s="35">
        <v>43171.0</v>
      </c>
      <c r="E21" s="36">
        <v>1.0</v>
      </c>
      <c r="F21" s="41"/>
      <c r="G21" s="38"/>
      <c r="H21" s="39"/>
      <c r="I21" s="78"/>
      <c r="J21" s="79"/>
      <c r="K21" s="79"/>
      <c r="L21" s="79"/>
      <c r="M21" s="79"/>
      <c r="N21" s="40"/>
      <c r="O21" s="40"/>
      <c r="P21" s="40"/>
      <c r="Q21" s="40"/>
      <c r="R21" s="40"/>
      <c r="S21" s="65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1"/>
      <c r="BG21" s="38"/>
      <c r="BH21" s="39"/>
      <c r="BI21" s="78"/>
      <c r="BJ21" s="79"/>
      <c r="BK21" s="79"/>
      <c r="BL21" s="79"/>
      <c r="BM21" s="79"/>
      <c r="BN21" s="79"/>
      <c r="BO21" s="79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</row>
    <row r="22" ht="21.0" customHeight="1">
      <c r="A22" s="25">
        <v>5.0</v>
      </c>
      <c r="B22" s="26" t="s">
        <v>44</v>
      </c>
      <c r="C22" s="27"/>
      <c r="D22" s="27"/>
      <c r="E22" s="28"/>
      <c r="F22" s="29"/>
      <c r="G22" s="30"/>
      <c r="H22" s="31"/>
      <c r="I22" s="31"/>
      <c r="J22" s="29"/>
      <c r="K22" s="32"/>
      <c r="L22" s="29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29"/>
      <c r="BG22" s="30"/>
      <c r="BH22" s="31"/>
      <c r="BI22" s="31"/>
      <c r="BJ22" s="29"/>
      <c r="BK22" s="32"/>
      <c r="BL22" s="29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</row>
    <row r="23" ht="17.25" customHeight="1" outlineLevel="1">
      <c r="A23" s="33">
        <v>46027.0</v>
      </c>
      <c r="B23" s="34" t="s">
        <v>45</v>
      </c>
      <c r="C23" s="35">
        <v>43171.0</v>
      </c>
      <c r="D23" s="35">
        <v>43171.0</v>
      </c>
      <c r="E23" s="36">
        <v>25.0</v>
      </c>
      <c r="F23" s="41"/>
      <c r="G23" s="38"/>
      <c r="H23" s="39"/>
      <c r="I23" s="3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86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1"/>
      <c r="BG23" s="38"/>
      <c r="BH23" s="39"/>
      <c r="BI23" s="39"/>
      <c r="BJ23" s="40"/>
      <c r="BK23" s="40"/>
      <c r="BL23" s="79"/>
      <c r="BM23" s="79"/>
      <c r="BN23" s="79"/>
      <c r="BO23" s="79"/>
      <c r="BP23" s="79"/>
      <c r="BQ23" s="79"/>
      <c r="BR23" s="79"/>
      <c r="BS23" s="79"/>
      <c r="BT23" s="79"/>
      <c r="BU23" s="79"/>
      <c r="BV23" s="79"/>
      <c r="BW23" s="79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</row>
    <row r="24" ht="17.25" customHeight="1" outlineLevel="1">
      <c r="A24" s="66">
        <v>46058.0</v>
      </c>
      <c r="B24" s="67" t="s">
        <v>46</v>
      </c>
      <c r="C24" s="35">
        <v>43171.0</v>
      </c>
      <c r="D24" s="35">
        <v>43171.0</v>
      </c>
      <c r="E24" s="68">
        <v>50.0</v>
      </c>
      <c r="F24" s="69"/>
      <c r="G24" s="70"/>
      <c r="H24" s="71"/>
      <c r="I24" s="71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87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88"/>
      <c r="BG24" s="89"/>
      <c r="BH24" s="90"/>
      <c r="BI24" s="90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85"/>
      <c r="BV24" s="85"/>
      <c r="BW24" s="85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2"/>
      <c r="CW24" s="72"/>
      <c r="CX24" s="72"/>
      <c r="CY24" s="72"/>
      <c r="CZ24" s="72"/>
      <c r="DA24" s="72"/>
      <c r="DB24" s="72"/>
      <c r="DC24" s="72"/>
      <c r="DD24" s="72"/>
      <c r="DE24" s="72"/>
    </row>
    <row r="25" ht="17.25" customHeight="1" outlineLevel="1">
      <c r="A25" s="66">
        <v>46086.0</v>
      </c>
      <c r="B25" s="67" t="s">
        <v>47</v>
      </c>
      <c r="C25" s="35">
        <v>43171.0</v>
      </c>
      <c r="D25" s="35">
        <v>43171.0</v>
      </c>
      <c r="E25" s="68">
        <v>25.0</v>
      </c>
      <c r="F25" s="69"/>
      <c r="G25" s="70"/>
      <c r="H25" s="71"/>
      <c r="I25" s="71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87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69"/>
      <c r="BG25" s="70"/>
      <c r="BH25" s="71"/>
      <c r="BI25" s="71"/>
      <c r="BJ25" s="72"/>
      <c r="BK25" s="72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72"/>
      <c r="DC25" s="72"/>
      <c r="DD25" s="72"/>
      <c r="DE25" s="72"/>
    </row>
    <row r="26" ht="21.0" customHeight="1">
      <c r="A26" s="25">
        <v>6.0</v>
      </c>
      <c r="B26" s="26" t="s">
        <v>48</v>
      </c>
      <c r="C26" s="27"/>
      <c r="D26" s="27"/>
      <c r="E26" s="28"/>
      <c r="F26" s="29"/>
      <c r="G26" s="30"/>
      <c r="H26" s="31"/>
      <c r="I26" s="31"/>
      <c r="J26" s="29"/>
      <c r="K26" s="32"/>
      <c r="L26" s="29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29"/>
      <c r="BG26" s="30"/>
      <c r="BH26" s="31"/>
      <c r="BI26" s="31"/>
      <c r="BJ26" s="29"/>
      <c r="BK26" s="32"/>
      <c r="BL26" s="29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</row>
    <row r="27" ht="17.25" customHeight="1" outlineLevel="1">
      <c r="A27" s="33">
        <v>46028.0</v>
      </c>
      <c r="B27" s="34" t="s">
        <v>49</v>
      </c>
      <c r="C27" s="35">
        <v>43171.0</v>
      </c>
      <c r="D27" s="35">
        <v>43171.0</v>
      </c>
      <c r="E27" s="36">
        <v>23.0</v>
      </c>
      <c r="F27" s="41"/>
      <c r="G27" s="38"/>
      <c r="H27" s="39"/>
      <c r="I27" s="39"/>
      <c r="J27" s="40"/>
      <c r="K27" s="40"/>
      <c r="L27" s="40"/>
      <c r="M27" s="40"/>
      <c r="N27" s="40"/>
      <c r="O27" s="40"/>
      <c r="P27" s="40"/>
      <c r="Q27" s="40"/>
      <c r="R27" s="79"/>
      <c r="S27" s="79"/>
      <c r="T27" s="79"/>
      <c r="U27" s="79"/>
      <c r="V27" s="79"/>
      <c r="W27" s="79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40"/>
      <c r="AX27" s="40"/>
      <c r="AY27" s="40"/>
      <c r="AZ27" s="40"/>
      <c r="BA27" s="40"/>
      <c r="BB27" s="40"/>
      <c r="BC27" s="40"/>
      <c r="BD27" s="40"/>
      <c r="BE27" s="40"/>
      <c r="BF27" s="41"/>
      <c r="BG27" s="38"/>
      <c r="BH27" s="39"/>
      <c r="BI27" s="39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79"/>
      <c r="BU27" s="79"/>
      <c r="BV27" s="79"/>
      <c r="BW27" s="79"/>
      <c r="BX27" s="79"/>
      <c r="BY27" s="79"/>
      <c r="BZ27" s="79"/>
      <c r="CA27" s="79"/>
      <c r="CB27" s="79"/>
      <c r="CC27" s="79"/>
      <c r="CD27" s="79"/>
      <c r="CE27" s="79"/>
      <c r="CF27" s="79"/>
      <c r="CG27" s="79"/>
      <c r="CH27" s="79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</row>
    <row r="28" ht="17.25" customHeight="1" outlineLevel="1">
      <c r="A28" s="33">
        <v>46059.0</v>
      </c>
      <c r="B28" s="34" t="s">
        <v>50</v>
      </c>
      <c r="C28" s="35">
        <v>43171.0</v>
      </c>
      <c r="D28" s="35">
        <v>43171.0</v>
      </c>
      <c r="E28" s="36">
        <v>25.0</v>
      </c>
      <c r="F28" s="41"/>
      <c r="G28" s="38"/>
      <c r="H28" s="39"/>
      <c r="I28" s="39"/>
      <c r="J28" s="40"/>
      <c r="K28" s="40"/>
      <c r="L28" s="40"/>
      <c r="M28" s="40"/>
      <c r="N28" s="40"/>
      <c r="O28" s="40"/>
      <c r="P28" s="40"/>
      <c r="Q28" s="40"/>
      <c r="R28" s="79"/>
      <c r="S28" s="79"/>
      <c r="T28" s="79"/>
      <c r="U28" s="79"/>
      <c r="V28" s="79"/>
      <c r="W28" s="79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40"/>
      <c r="AX28" s="40"/>
      <c r="AY28" s="40"/>
      <c r="AZ28" s="40"/>
      <c r="BA28" s="40"/>
      <c r="BB28" s="40"/>
      <c r="BC28" s="40"/>
      <c r="BD28" s="40"/>
      <c r="BE28" s="40"/>
      <c r="BF28" s="41"/>
      <c r="BG28" s="38"/>
      <c r="BH28" s="39"/>
      <c r="BI28" s="39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</row>
    <row r="29" ht="21.0" customHeight="1">
      <c r="A29" s="25">
        <v>7.0</v>
      </c>
      <c r="B29" s="26" t="s">
        <v>51</v>
      </c>
      <c r="C29" s="27"/>
      <c r="D29" s="27"/>
      <c r="E29" s="28"/>
      <c r="F29" s="29"/>
      <c r="G29" s="30"/>
      <c r="H29" s="31"/>
      <c r="I29" s="31"/>
      <c r="J29" s="29"/>
      <c r="K29" s="32"/>
      <c r="L29" s="29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29"/>
      <c r="BG29" s="30"/>
      <c r="BH29" s="31"/>
      <c r="BI29" s="31"/>
      <c r="BJ29" s="29"/>
      <c r="BK29" s="32"/>
      <c r="BL29" s="29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</row>
    <row r="30" ht="17.25" customHeight="1" outlineLevel="1">
      <c r="A30" s="42" t="s">
        <v>52</v>
      </c>
      <c r="B30" s="34" t="s">
        <v>53</v>
      </c>
      <c r="C30" s="35">
        <v>43174.0</v>
      </c>
      <c r="D30" s="35">
        <v>43175.0</v>
      </c>
      <c r="E30" s="36">
        <v>2.0</v>
      </c>
      <c r="F30" s="46"/>
      <c r="G30" s="43"/>
      <c r="H30" s="44"/>
      <c r="I30" s="44"/>
      <c r="J30" s="63"/>
      <c r="K30" s="49"/>
      <c r="L30" s="74"/>
      <c r="M30" s="74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74"/>
      <c r="Z30" s="74"/>
      <c r="AA30" s="74"/>
      <c r="AB30" s="74"/>
      <c r="AC30" s="74"/>
      <c r="AD30" s="74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6"/>
      <c r="BG30" s="43"/>
      <c r="BH30" s="44"/>
      <c r="BI30" s="44"/>
      <c r="BJ30" s="44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74"/>
      <c r="CG30" s="74"/>
      <c r="CH30" s="74"/>
      <c r="CI30" s="74"/>
      <c r="CJ30" s="74"/>
      <c r="CK30" s="74"/>
      <c r="CL30" s="74"/>
      <c r="CM30" s="74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</row>
    <row r="31" ht="17.25" customHeight="1" outlineLevel="1">
      <c r="A31" s="42" t="s">
        <v>54</v>
      </c>
      <c r="B31" s="34" t="s">
        <v>55</v>
      </c>
      <c r="C31" s="35">
        <v>43174.0</v>
      </c>
      <c r="D31" s="35">
        <v>43175.0</v>
      </c>
      <c r="E31" s="36">
        <v>4.0</v>
      </c>
      <c r="F31" s="46"/>
      <c r="G31" s="43"/>
      <c r="H31" s="44"/>
      <c r="I31" s="44"/>
      <c r="J31" s="44"/>
      <c r="K31" s="45"/>
      <c r="L31" s="49"/>
      <c r="M31" s="49"/>
      <c r="N31" s="49"/>
      <c r="O31" s="49"/>
      <c r="P31" s="74"/>
      <c r="Q31" s="74"/>
      <c r="R31" s="45"/>
      <c r="S31" s="45"/>
      <c r="T31" s="45"/>
      <c r="U31" s="45"/>
      <c r="V31" s="45"/>
      <c r="W31" s="45"/>
      <c r="X31" s="45"/>
      <c r="Y31" s="74"/>
      <c r="Z31" s="74"/>
      <c r="AA31" s="74"/>
      <c r="AB31" s="74"/>
      <c r="AC31" s="75"/>
      <c r="AD31" s="74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6"/>
      <c r="BG31" s="43"/>
      <c r="BH31" s="44"/>
      <c r="BI31" s="44"/>
      <c r="BJ31" s="44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74"/>
      <c r="CG31" s="74"/>
      <c r="CH31" s="91"/>
      <c r="CI31" s="91"/>
      <c r="CJ31" s="91"/>
      <c r="CK31" s="91"/>
      <c r="CL31" s="74"/>
      <c r="CM31" s="74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</row>
    <row r="32" ht="21.0" customHeight="1">
      <c r="A32" s="25">
        <v>8.0</v>
      </c>
      <c r="B32" s="26" t="s">
        <v>56</v>
      </c>
      <c r="C32" s="27"/>
      <c r="D32" s="27"/>
      <c r="E32" s="28"/>
      <c r="F32" s="29"/>
      <c r="G32" s="30"/>
      <c r="H32" s="31"/>
      <c r="I32" s="31"/>
      <c r="J32" s="29"/>
      <c r="K32" s="32"/>
      <c r="L32" s="29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29"/>
      <c r="BG32" s="30"/>
      <c r="BH32" s="31"/>
      <c r="BI32" s="31"/>
      <c r="BJ32" s="29"/>
      <c r="BK32" s="32"/>
      <c r="BL32" s="29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</row>
    <row r="33" ht="17.25" customHeight="1" outlineLevel="1">
      <c r="A33" s="42" t="s">
        <v>57</v>
      </c>
      <c r="B33" s="34" t="s">
        <v>58</v>
      </c>
      <c r="C33" s="35">
        <v>43174.0</v>
      </c>
      <c r="D33" s="35">
        <v>43175.0</v>
      </c>
      <c r="E33" s="36">
        <v>2.0</v>
      </c>
      <c r="F33" s="46"/>
      <c r="G33" s="43"/>
      <c r="H33" s="44"/>
      <c r="I33" s="44"/>
      <c r="J33" s="63"/>
      <c r="K33" s="49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6"/>
      <c r="BG33" s="43"/>
      <c r="BH33" s="44"/>
      <c r="BI33" s="44"/>
      <c r="BJ33" s="44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74"/>
      <c r="CE33" s="74"/>
      <c r="CF33" s="74"/>
      <c r="CG33" s="74"/>
      <c r="CH33" s="74"/>
      <c r="CI33" s="74"/>
      <c r="CJ33" s="74"/>
      <c r="CK33" s="74"/>
      <c r="CL33" s="74"/>
      <c r="CM33" s="74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</row>
    <row r="34" ht="17.25" customHeight="1" outlineLevel="1">
      <c r="A34" s="42" t="s">
        <v>59</v>
      </c>
      <c r="B34" s="34" t="s">
        <v>60</v>
      </c>
      <c r="C34" s="35">
        <v>43174.0</v>
      </c>
      <c r="D34" s="35">
        <v>43175.0</v>
      </c>
      <c r="E34" s="36">
        <v>4.0</v>
      </c>
      <c r="F34" s="46"/>
      <c r="G34" s="43"/>
      <c r="H34" s="44"/>
      <c r="I34" s="44"/>
      <c r="J34" s="44"/>
      <c r="K34" s="45"/>
      <c r="L34" s="49"/>
      <c r="M34" s="49"/>
      <c r="N34" s="49"/>
      <c r="O34" s="49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6"/>
      <c r="BG34" s="43"/>
      <c r="BH34" s="44"/>
      <c r="BI34" s="44"/>
      <c r="BJ34" s="44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74"/>
      <c r="CE34" s="74"/>
      <c r="CF34" s="74"/>
      <c r="CG34" s="74"/>
      <c r="CH34" s="74"/>
      <c r="CI34" s="74"/>
      <c r="CJ34" s="74"/>
      <c r="CK34" s="74"/>
      <c r="CL34" s="74"/>
      <c r="CM34" s="74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</row>
    <row r="35" ht="17.25" customHeight="1" outlineLevel="1">
      <c r="A35" s="42" t="s">
        <v>61</v>
      </c>
      <c r="B35" s="34" t="s">
        <v>62</v>
      </c>
      <c r="C35" s="35">
        <v>43174.0</v>
      </c>
      <c r="D35" s="35">
        <v>43175.0</v>
      </c>
      <c r="E35" s="36">
        <v>4.0</v>
      </c>
      <c r="F35" s="46"/>
      <c r="G35" s="43"/>
      <c r="H35" s="44"/>
      <c r="I35" s="44"/>
      <c r="J35" s="44"/>
      <c r="K35" s="45"/>
      <c r="L35" s="49"/>
      <c r="M35" s="49"/>
      <c r="N35" s="49"/>
      <c r="O35" s="49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6"/>
      <c r="BG35" s="43"/>
      <c r="BH35" s="44"/>
      <c r="BI35" s="44"/>
      <c r="BJ35" s="44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74"/>
      <c r="CE35" s="74"/>
      <c r="CF35" s="74"/>
      <c r="CG35" s="74"/>
      <c r="CH35" s="74"/>
      <c r="CI35" s="74"/>
      <c r="CJ35" s="74"/>
      <c r="CK35" s="74"/>
      <c r="CL35" s="74"/>
      <c r="CM35" s="74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</row>
    <row r="36" ht="21.0" customHeight="1">
      <c r="A36" s="25">
        <v>9.0</v>
      </c>
      <c r="B36" s="26" t="s">
        <v>63</v>
      </c>
      <c r="C36" s="27"/>
      <c r="D36" s="27"/>
      <c r="E36" s="28"/>
      <c r="F36" s="29"/>
      <c r="G36" s="30"/>
      <c r="H36" s="31"/>
      <c r="I36" s="31"/>
      <c r="J36" s="29"/>
      <c r="K36" s="32"/>
      <c r="L36" s="29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29"/>
      <c r="BG36" s="30"/>
      <c r="BH36" s="31"/>
      <c r="BI36" s="31"/>
      <c r="BJ36" s="29"/>
      <c r="BK36" s="32"/>
      <c r="BL36" s="29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</row>
    <row r="37" ht="17.25" customHeight="1" outlineLevel="1">
      <c r="A37" s="42" t="s">
        <v>64</v>
      </c>
      <c r="B37" s="34" t="s">
        <v>65</v>
      </c>
      <c r="C37" s="35">
        <v>43174.0</v>
      </c>
      <c r="D37" s="35">
        <v>43175.0</v>
      </c>
      <c r="E37" s="36">
        <v>4.0</v>
      </c>
      <c r="F37" s="46"/>
      <c r="G37" s="43"/>
      <c r="H37" s="44"/>
      <c r="I37" s="44"/>
      <c r="J37" s="44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6"/>
      <c r="BG37" s="43"/>
      <c r="BH37" s="44"/>
      <c r="BI37" s="44"/>
      <c r="BJ37" s="44"/>
      <c r="BK37" s="49"/>
      <c r="BL37" s="49"/>
      <c r="BM37" s="49"/>
      <c r="BN37" s="49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74"/>
      <c r="CK37" s="74"/>
      <c r="CL37" s="74"/>
      <c r="CM37" s="74"/>
      <c r="CN37" s="74"/>
      <c r="CO37" s="74"/>
      <c r="CP37" s="74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</row>
    <row r="38" ht="17.25" customHeight="1" outlineLevel="1">
      <c r="A38" s="42" t="s">
        <v>66</v>
      </c>
      <c r="B38" s="34" t="s">
        <v>67</v>
      </c>
      <c r="C38" s="35">
        <v>43174.0</v>
      </c>
      <c r="D38" s="35">
        <v>43175.0</v>
      </c>
      <c r="E38" s="36">
        <v>4.0</v>
      </c>
      <c r="F38" s="46"/>
      <c r="G38" s="43"/>
      <c r="H38" s="44"/>
      <c r="I38" s="44"/>
      <c r="J38" s="44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6"/>
      <c r="BG38" s="43"/>
      <c r="BH38" s="44"/>
      <c r="BI38" s="44"/>
      <c r="BJ38" s="44"/>
      <c r="BK38" s="49"/>
      <c r="BL38" s="49"/>
      <c r="BM38" s="49"/>
      <c r="BN38" s="49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74"/>
      <c r="CK38" s="74"/>
      <c r="CL38" s="74"/>
      <c r="CM38" s="74"/>
      <c r="CN38" s="74"/>
      <c r="CO38" s="74"/>
      <c r="CP38" s="74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</row>
    <row r="39" ht="21.0" customHeight="1">
      <c r="A39" s="25">
        <v>10.0</v>
      </c>
      <c r="B39" s="26" t="s">
        <v>68</v>
      </c>
      <c r="C39" s="27"/>
      <c r="D39" s="27"/>
      <c r="E39" s="28"/>
      <c r="F39" s="29"/>
      <c r="G39" s="30"/>
      <c r="H39" s="31"/>
      <c r="I39" s="31"/>
      <c r="J39" s="29"/>
      <c r="K39" s="32"/>
      <c r="L39" s="29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29"/>
      <c r="BG39" s="30"/>
      <c r="BH39" s="31"/>
      <c r="BI39" s="31"/>
      <c r="BJ39" s="29"/>
      <c r="BK39" s="32"/>
      <c r="BL39" s="29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</row>
    <row r="40" ht="17.25" customHeight="1" outlineLevel="1">
      <c r="A40" s="42" t="s">
        <v>69</v>
      </c>
      <c r="B40" s="34" t="s">
        <v>70</v>
      </c>
      <c r="C40" s="35">
        <v>43174.0</v>
      </c>
      <c r="D40" s="35">
        <v>43175.0</v>
      </c>
      <c r="E40" s="36">
        <v>6.0</v>
      </c>
      <c r="F40" s="46"/>
      <c r="G40" s="43"/>
      <c r="H40" s="44"/>
      <c r="I40" s="44"/>
      <c r="J40" s="44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6"/>
      <c r="BG40" s="43"/>
      <c r="BH40" s="44"/>
      <c r="BI40" s="44"/>
      <c r="BJ40" s="44"/>
      <c r="BK40" s="45"/>
      <c r="BL40" s="45"/>
      <c r="BM40" s="45"/>
      <c r="BN40" s="45"/>
      <c r="BO40" s="49"/>
      <c r="BP40" s="49"/>
      <c r="BQ40" s="49"/>
      <c r="BR40" s="49"/>
      <c r="BS40" s="49"/>
      <c r="BT40" s="49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74"/>
      <c r="CO40" s="74"/>
      <c r="CP40" s="74"/>
      <c r="CQ40" s="74"/>
      <c r="CR40" s="74"/>
      <c r="CS40" s="74"/>
      <c r="CT40" s="74"/>
      <c r="CU40" s="74"/>
      <c r="CV40" s="74"/>
      <c r="CW40" s="74"/>
      <c r="CX40" s="45"/>
      <c r="CY40" s="45"/>
      <c r="CZ40" s="45"/>
      <c r="DA40" s="45"/>
      <c r="DB40" s="45"/>
      <c r="DC40" s="45"/>
      <c r="DD40" s="45"/>
      <c r="DE40" s="45"/>
    </row>
    <row r="41" ht="17.25" customHeight="1" outlineLevel="1">
      <c r="A41" s="42" t="s">
        <v>71</v>
      </c>
      <c r="B41" s="34" t="s">
        <v>72</v>
      </c>
      <c r="C41" s="35">
        <v>43174.0</v>
      </c>
      <c r="D41" s="35">
        <v>43175.0</v>
      </c>
      <c r="E41" s="36">
        <v>6.0</v>
      </c>
      <c r="F41" s="46"/>
      <c r="G41" s="43"/>
      <c r="H41" s="44"/>
      <c r="I41" s="44"/>
      <c r="J41" s="44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6"/>
      <c r="BG41" s="43"/>
      <c r="BH41" s="44"/>
      <c r="BI41" s="44"/>
      <c r="BJ41" s="44"/>
      <c r="BK41" s="45"/>
      <c r="BL41" s="45"/>
      <c r="BM41" s="45"/>
      <c r="BN41" s="45"/>
      <c r="BO41" s="49"/>
      <c r="BP41" s="49"/>
      <c r="BQ41" s="49"/>
      <c r="BR41" s="49"/>
      <c r="BS41" s="49"/>
      <c r="BT41" s="49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74"/>
      <c r="CO41" s="74"/>
      <c r="CP41" s="74"/>
      <c r="CQ41" s="74"/>
      <c r="CR41" s="74"/>
      <c r="CS41" s="74"/>
      <c r="CT41" s="74"/>
      <c r="CU41" s="74"/>
      <c r="CV41" s="74"/>
      <c r="CW41" s="74"/>
      <c r="CX41" s="45"/>
      <c r="CY41" s="45"/>
      <c r="CZ41" s="45"/>
      <c r="DA41" s="45"/>
      <c r="DB41" s="45"/>
      <c r="DC41" s="45"/>
      <c r="DD41" s="45"/>
      <c r="DE41" s="45"/>
    </row>
    <row r="42" ht="21.0" customHeight="1">
      <c r="A42" s="25">
        <v>11.0</v>
      </c>
      <c r="B42" s="26" t="s">
        <v>73</v>
      </c>
      <c r="C42" s="27"/>
      <c r="D42" s="27"/>
      <c r="E42" s="28"/>
      <c r="F42" s="29"/>
      <c r="G42" s="30"/>
      <c r="H42" s="31"/>
      <c r="I42" s="31"/>
      <c r="J42" s="29"/>
      <c r="K42" s="32"/>
      <c r="L42" s="29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29"/>
      <c r="BG42" s="30"/>
      <c r="BH42" s="31"/>
      <c r="BI42" s="31"/>
      <c r="BJ42" s="29"/>
      <c r="BK42" s="32"/>
      <c r="BL42" s="29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</row>
    <row r="43" ht="17.25" customHeight="1" outlineLevel="1">
      <c r="A43" s="42" t="s">
        <v>74</v>
      </c>
      <c r="B43" s="34" t="s">
        <v>75</v>
      </c>
      <c r="C43" s="35">
        <v>43174.0</v>
      </c>
      <c r="D43" s="35">
        <v>43175.0</v>
      </c>
      <c r="E43" s="36">
        <v>4.0</v>
      </c>
      <c r="F43" s="46"/>
      <c r="G43" s="43"/>
      <c r="H43" s="44"/>
      <c r="I43" s="44"/>
      <c r="J43" s="44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6"/>
      <c r="BG43" s="43"/>
      <c r="BH43" s="44"/>
      <c r="BI43" s="44"/>
      <c r="BJ43" s="44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9"/>
      <c r="BV43" s="49"/>
      <c r="BW43" s="49"/>
      <c r="BX43" s="49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74"/>
      <c r="CV43" s="74"/>
      <c r="CW43" s="74"/>
      <c r="CX43" s="74"/>
      <c r="CY43" s="74"/>
      <c r="CZ43" s="74"/>
      <c r="DA43" s="74"/>
      <c r="DB43" s="74"/>
      <c r="DC43" s="74"/>
      <c r="DD43" s="74"/>
      <c r="DE43" s="45"/>
    </row>
    <row r="44" ht="17.25" customHeight="1" outlineLevel="1">
      <c r="A44" s="42" t="s">
        <v>76</v>
      </c>
      <c r="B44" s="34" t="s">
        <v>77</v>
      </c>
      <c r="C44" s="35">
        <v>43174.0</v>
      </c>
      <c r="D44" s="35">
        <v>43175.0</v>
      </c>
      <c r="E44" s="36">
        <v>3.0</v>
      </c>
      <c r="F44" s="46"/>
      <c r="G44" s="43"/>
      <c r="H44" s="44"/>
      <c r="I44" s="44"/>
      <c r="J44" s="44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6"/>
      <c r="BG44" s="43"/>
      <c r="BH44" s="44"/>
      <c r="BI44" s="44"/>
      <c r="BJ44" s="44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9"/>
      <c r="BZ44" s="49"/>
      <c r="CA44" s="49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74"/>
      <c r="CV44" s="74"/>
      <c r="CW44" s="74"/>
      <c r="CX44" s="74"/>
      <c r="CY44" s="74"/>
      <c r="CZ44" s="74"/>
      <c r="DA44" s="74"/>
      <c r="DB44" s="74"/>
      <c r="DC44" s="74"/>
      <c r="DD44" s="74"/>
      <c r="DE44" s="45"/>
    </row>
  </sheetData>
  <mergeCells count="37">
    <mergeCell ref="AF1:AR1"/>
    <mergeCell ref="AS1:BE1"/>
    <mergeCell ref="BF1:BR1"/>
    <mergeCell ref="BS1:CE1"/>
    <mergeCell ref="CF1:CR1"/>
    <mergeCell ref="CS1:DE1"/>
    <mergeCell ref="F2:I2"/>
    <mergeCell ref="J2:M2"/>
    <mergeCell ref="N2:R2"/>
    <mergeCell ref="S2:V2"/>
    <mergeCell ref="A1:A2"/>
    <mergeCell ref="B1:B2"/>
    <mergeCell ref="C1:C2"/>
    <mergeCell ref="D1:D2"/>
    <mergeCell ref="E1:E2"/>
    <mergeCell ref="F1:R1"/>
    <mergeCell ref="S1:AE1"/>
    <mergeCell ref="W2:Z2"/>
    <mergeCell ref="AA2:AE2"/>
    <mergeCell ref="AF2:AI2"/>
    <mergeCell ref="AJ2:AN2"/>
    <mergeCell ref="AO2:AR2"/>
    <mergeCell ref="AS2:AV2"/>
    <mergeCell ref="AW2:BA2"/>
    <mergeCell ref="CF2:CI2"/>
    <mergeCell ref="CJ2:CN2"/>
    <mergeCell ref="CO2:CR2"/>
    <mergeCell ref="CS2:CV2"/>
    <mergeCell ref="CW2:DA2"/>
    <mergeCell ref="DB2:DE2"/>
    <mergeCell ref="BB2:BE2"/>
    <mergeCell ref="BF2:BI2"/>
    <mergeCell ref="BJ2:BM2"/>
    <mergeCell ref="BN2:BR2"/>
    <mergeCell ref="BS2:BV2"/>
    <mergeCell ref="BW2:CA2"/>
    <mergeCell ref="CB2:CE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11.13"/>
    <col customWidth="1" min="2" max="2" width="55.13"/>
    <col customWidth="1" min="3" max="3" width="10.5"/>
    <col customWidth="1" min="4" max="4" width="13.0"/>
    <col customWidth="1" min="5" max="5" width="11.63"/>
    <col customWidth="1" min="6" max="109" width="3.0"/>
  </cols>
  <sheetData>
    <row r="1" ht="17.25" customHeight="1">
      <c r="A1" s="1" t="s">
        <v>80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S1" s="5" t="s">
        <v>6</v>
      </c>
      <c r="AF1" s="6" t="s">
        <v>7</v>
      </c>
      <c r="AS1" s="7" t="s">
        <v>8</v>
      </c>
      <c r="BE1" s="8"/>
      <c r="BF1" s="4" t="s">
        <v>9</v>
      </c>
      <c r="BS1" s="5" t="s">
        <v>10</v>
      </c>
      <c r="CF1" s="6" t="s">
        <v>11</v>
      </c>
      <c r="CS1" s="7" t="s">
        <v>12</v>
      </c>
      <c r="DE1" s="8"/>
    </row>
    <row r="2" ht="17.25" customHeight="1">
      <c r="F2" s="9" t="s">
        <v>13</v>
      </c>
      <c r="G2" s="10"/>
      <c r="H2" s="10"/>
      <c r="I2" s="11"/>
      <c r="J2" s="9" t="s">
        <v>14</v>
      </c>
      <c r="K2" s="10"/>
      <c r="L2" s="10"/>
      <c r="M2" s="11"/>
      <c r="N2" s="9" t="s">
        <v>15</v>
      </c>
      <c r="O2" s="10"/>
      <c r="P2" s="10"/>
      <c r="Q2" s="10"/>
      <c r="R2" s="11"/>
      <c r="S2" s="12" t="s">
        <v>16</v>
      </c>
      <c r="T2" s="10"/>
      <c r="U2" s="10"/>
      <c r="V2" s="11"/>
      <c r="W2" s="12" t="s">
        <v>17</v>
      </c>
      <c r="X2" s="10"/>
      <c r="Y2" s="10"/>
      <c r="Z2" s="11"/>
      <c r="AA2" s="12" t="s">
        <v>18</v>
      </c>
      <c r="AB2" s="10"/>
      <c r="AC2" s="10"/>
      <c r="AD2" s="10"/>
      <c r="AE2" s="11"/>
      <c r="AF2" s="13" t="s">
        <v>19</v>
      </c>
      <c r="AG2" s="10"/>
      <c r="AH2" s="10"/>
      <c r="AI2" s="11"/>
      <c r="AJ2" s="13" t="s">
        <v>20</v>
      </c>
      <c r="AK2" s="10"/>
      <c r="AL2" s="10"/>
      <c r="AM2" s="10"/>
      <c r="AN2" s="11"/>
      <c r="AO2" s="13" t="s">
        <v>21</v>
      </c>
      <c r="AP2" s="10"/>
      <c r="AQ2" s="10"/>
      <c r="AR2" s="11"/>
      <c r="AS2" s="14" t="s">
        <v>22</v>
      </c>
      <c r="AT2" s="10"/>
      <c r="AU2" s="10"/>
      <c r="AV2" s="11"/>
      <c r="AW2" s="14" t="s">
        <v>23</v>
      </c>
      <c r="AX2" s="10"/>
      <c r="AY2" s="10"/>
      <c r="AZ2" s="10"/>
      <c r="BA2" s="11"/>
      <c r="BB2" s="14" t="s">
        <v>24</v>
      </c>
      <c r="BC2" s="10"/>
      <c r="BD2" s="10"/>
      <c r="BE2" s="11"/>
      <c r="BF2" s="9" t="s">
        <v>13</v>
      </c>
      <c r="BG2" s="10"/>
      <c r="BH2" s="10"/>
      <c r="BI2" s="11"/>
      <c r="BJ2" s="9" t="s">
        <v>14</v>
      </c>
      <c r="BK2" s="10"/>
      <c r="BL2" s="10"/>
      <c r="BM2" s="11"/>
      <c r="BN2" s="9" t="s">
        <v>15</v>
      </c>
      <c r="BO2" s="10"/>
      <c r="BP2" s="10"/>
      <c r="BQ2" s="10"/>
      <c r="BR2" s="11"/>
      <c r="BS2" s="12" t="s">
        <v>16</v>
      </c>
      <c r="BT2" s="10"/>
      <c r="BU2" s="10"/>
      <c r="BV2" s="11"/>
      <c r="BW2" s="12" t="s">
        <v>17</v>
      </c>
      <c r="BX2" s="10"/>
      <c r="BY2" s="10"/>
      <c r="BZ2" s="10"/>
      <c r="CA2" s="11"/>
      <c r="CB2" s="12" t="s">
        <v>18</v>
      </c>
      <c r="CC2" s="10"/>
      <c r="CD2" s="10"/>
      <c r="CE2" s="11"/>
      <c r="CF2" s="13" t="s">
        <v>19</v>
      </c>
      <c r="CG2" s="10"/>
      <c r="CH2" s="10"/>
      <c r="CI2" s="11"/>
      <c r="CJ2" s="13" t="s">
        <v>20</v>
      </c>
      <c r="CK2" s="10"/>
      <c r="CL2" s="10"/>
      <c r="CM2" s="10"/>
      <c r="CN2" s="11"/>
      <c r="CO2" s="13" t="s">
        <v>21</v>
      </c>
      <c r="CP2" s="10"/>
      <c r="CQ2" s="10"/>
      <c r="CR2" s="11"/>
      <c r="CS2" s="14" t="s">
        <v>22</v>
      </c>
      <c r="CT2" s="10"/>
      <c r="CU2" s="10"/>
      <c r="CV2" s="11"/>
      <c r="CW2" s="14" t="s">
        <v>23</v>
      </c>
      <c r="CX2" s="10"/>
      <c r="CY2" s="10"/>
      <c r="CZ2" s="10"/>
      <c r="DA2" s="11"/>
      <c r="DB2" s="14" t="s">
        <v>24</v>
      </c>
      <c r="DC2" s="10"/>
      <c r="DD2" s="10"/>
      <c r="DE2" s="11"/>
    </row>
    <row r="3" ht="17.25" customHeight="1">
      <c r="A3" s="15"/>
      <c r="B3" s="15"/>
      <c r="C3" s="16"/>
      <c r="D3" s="16"/>
      <c r="E3" s="15"/>
      <c r="F3" s="17">
        <v>5.0</v>
      </c>
      <c r="G3" s="18">
        <f t="shared" ref="G3:I3" si="1">F3+7</f>
        <v>12</v>
      </c>
      <c r="H3" s="18">
        <f t="shared" si="1"/>
        <v>19</v>
      </c>
      <c r="I3" s="18">
        <f t="shared" si="1"/>
        <v>26</v>
      </c>
      <c r="J3" s="17">
        <v>2.0</v>
      </c>
      <c r="K3" s="18">
        <f t="shared" ref="K3:M3" si="2">J3+7</f>
        <v>9</v>
      </c>
      <c r="L3" s="18">
        <f t="shared" si="2"/>
        <v>16</v>
      </c>
      <c r="M3" s="18">
        <f t="shared" si="2"/>
        <v>23</v>
      </c>
      <c r="N3" s="17">
        <v>2.0</v>
      </c>
      <c r="O3" s="18">
        <f>N3+7</f>
        <v>9</v>
      </c>
      <c r="P3" s="18">
        <f t="shared" ref="P3:R3" si="3">INDEX(3:3,COLUMN()-1)+7</f>
        <v>16</v>
      </c>
      <c r="Q3" s="18">
        <f t="shared" si="3"/>
        <v>23</v>
      </c>
      <c r="R3" s="18">
        <f t="shared" si="3"/>
        <v>30</v>
      </c>
      <c r="S3" s="19">
        <v>6.0</v>
      </c>
      <c r="T3" s="20">
        <f t="shared" ref="T3:V3" si="4">INDEX(3:3,COLUMN()-1)+7</f>
        <v>13</v>
      </c>
      <c r="U3" s="20">
        <f t="shared" si="4"/>
        <v>20</v>
      </c>
      <c r="V3" s="20">
        <f t="shared" si="4"/>
        <v>27</v>
      </c>
      <c r="W3" s="19">
        <v>4.0</v>
      </c>
      <c r="X3" s="20">
        <f t="shared" ref="X3:Z3" si="5">INDEX(3:3,COLUMN()-1)+7</f>
        <v>11</v>
      </c>
      <c r="Y3" s="20">
        <f t="shared" si="5"/>
        <v>18</v>
      </c>
      <c r="Z3" s="20">
        <f t="shared" si="5"/>
        <v>25</v>
      </c>
      <c r="AA3" s="19">
        <v>1.0</v>
      </c>
      <c r="AB3" s="20">
        <f t="shared" ref="AB3:AE3" si="6">INDEX(3:3,COLUMN()-1)+7</f>
        <v>8</v>
      </c>
      <c r="AC3" s="20">
        <f t="shared" si="6"/>
        <v>15</v>
      </c>
      <c r="AD3" s="20">
        <f t="shared" si="6"/>
        <v>22</v>
      </c>
      <c r="AE3" s="20">
        <f t="shared" si="6"/>
        <v>29</v>
      </c>
      <c r="AF3" s="21">
        <v>6.0</v>
      </c>
      <c r="AG3" s="22">
        <f t="shared" ref="AG3:AI3" si="7">INDEX(3:3,COLUMN()-1)+7</f>
        <v>13</v>
      </c>
      <c r="AH3" s="22">
        <f t="shared" si="7"/>
        <v>20</v>
      </c>
      <c r="AI3" s="22">
        <f t="shared" si="7"/>
        <v>27</v>
      </c>
      <c r="AJ3" s="21">
        <v>3.0</v>
      </c>
      <c r="AK3" s="22">
        <f t="shared" ref="AK3:AN3" si="8">INDEX(3:3,COLUMN()-1)+7</f>
        <v>10</v>
      </c>
      <c r="AL3" s="22">
        <f t="shared" si="8"/>
        <v>17</v>
      </c>
      <c r="AM3" s="22">
        <f t="shared" si="8"/>
        <v>24</v>
      </c>
      <c r="AN3" s="22">
        <f t="shared" si="8"/>
        <v>31</v>
      </c>
      <c r="AO3" s="21">
        <v>7.0</v>
      </c>
      <c r="AP3" s="22">
        <f t="shared" ref="AP3:AR3" si="9">INDEX(3:3,COLUMN()-1)+7</f>
        <v>14</v>
      </c>
      <c r="AQ3" s="22">
        <f t="shared" si="9"/>
        <v>21</v>
      </c>
      <c r="AR3" s="22">
        <f t="shared" si="9"/>
        <v>28</v>
      </c>
      <c r="AS3" s="23">
        <v>5.0</v>
      </c>
      <c r="AT3" s="24">
        <f t="shared" ref="AT3:AV3" si="10">INDEX(3:3,COLUMN()-1)+7</f>
        <v>12</v>
      </c>
      <c r="AU3" s="24">
        <f t="shared" si="10"/>
        <v>19</v>
      </c>
      <c r="AV3" s="24">
        <f t="shared" si="10"/>
        <v>26</v>
      </c>
      <c r="AW3" s="23">
        <v>2.0</v>
      </c>
      <c r="AX3" s="24">
        <f t="shared" ref="AX3:BA3" si="11">INDEX(3:3,COLUMN()-1)+7</f>
        <v>9</v>
      </c>
      <c r="AY3" s="24">
        <f t="shared" si="11"/>
        <v>16</v>
      </c>
      <c r="AZ3" s="24">
        <f t="shared" si="11"/>
        <v>23</v>
      </c>
      <c r="BA3" s="24">
        <f t="shared" si="11"/>
        <v>30</v>
      </c>
      <c r="BB3" s="23">
        <v>7.0</v>
      </c>
      <c r="BC3" s="24">
        <f t="shared" ref="BC3:BE3" si="12">INDEX(3:3,COLUMN()-1)+7</f>
        <v>14</v>
      </c>
      <c r="BD3" s="24">
        <f t="shared" si="12"/>
        <v>21</v>
      </c>
      <c r="BE3" s="24">
        <f t="shared" si="12"/>
        <v>28</v>
      </c>
      <c r="BF3" s="17">
        <v>4.0</v>
      </c>
      <c r="BG3" s="18">
        <f t="shared" ref="BG3:BI3" si="13">BF3+7</f>
        <v>11</v>
      </c>
      <c r="BH3" s="18">
        <f t="shared" si="13"/>
        <v>18</v>
      </c>
      <c r="BI3" s="18">
        <f t="shared" si="13"/>
        <v>25</v>
      </c>
      <c r="BJ3" s="17">
        <v>1.0</v>
      </c>
      <c r="BK3" s="18">
        <f t="shared" ref="BK3:BM3" si="14">BJ3+7</f>
        <v>8</v>
      </c>
      <c r="BL3" s="18">
        <f t="shared" si="14"/>
        <v>15</v>
      </c>
      <c r="BM3" s="18">
        <f t="shared" si="14"/>
        <v>22</v>
      </c>
      <c r="BN3" s="17">
        <v>1.0</v>
      </c>
      <c r="BO3" s="18">
        <f>BN3+7</f>
        <v>8</v>
      </c>
      <c r="BP3" s="18">
        <f t="shared" ref="BP3:BR3" si="15">INDEX(3:3,COLUMN()-1)+7</f>
        <v>15</v>
      </c>
      <c r="BQ3" s="18">
        <f t="shared" si="15"/>
        <v>22</v>
      </c>
      <c r="BR3" s="18">
        <f t="shared" si="15"/>
        <v>29</v>
      </c>
      <c r="BS3" s="19">
        <v>6.0</v>
      </c>
      <c r="BT3" s="20">
        <f t="shared" ref="BT3:BV3" si="16">INDEX(3:3,COLUMN()-1)+7</f>
        <v>13</v>
      </c>
      <c r="BU3" s="20">
        <f t="shared" si="16"/>
        <v>20</v>
      </c>
      <c r="BV3" s="20">
        <f t="shared" si="16"/>
        <v>27</v>
      </c>
      <c r="BW3" s="19">
        <v>3.0</v>
      </c>
      <c r="BX3" s="20">
        <f t="shared" ref="BX3:CA3" si="17">INDEX(3:3,COLUMN()-1)+7</f>
        <v>10</v>
      </c>
      <c r="BY3" s="20">
        <f t="shared" si="17"/>
        <v>17</v>
      </c>
      <c r="BZ3" s="20">
        <f t="shared" si="17"/>
        <v>24</v>
      </c>
      <c r="CA3" s="20">
        <f t="shared" si="17"/>
        <v>31</v>
      </c>
      <c r="CB3" s="19">
        <v>7.0</v>
      </c>
      <c r="CC3" s="20">
        <f t="shared" ref="CC3:CE3" si="18">INDEX(3:3,COLUMN()-1)+7</f>
        <v>14</v>
      </c>
      <c r="CD3" s="20">
        <f t="shared" si="18"/>
        <v>21</v>
      </c>
      <c r="CE3" s="20">
        <f t="shared" si="18"/>
        <v>28</v>
      </c>
      <c r="CF3" s="21">
        <v>5.0</v>
      </c>
      <c r="CG3" s="22">
        <f t="shared" ref="CG3:CI3" si="19">INDEX(3:3,COLUMN()-1)+7</f>
        <v>12</v>
      </c>
      <c r="CH3" s="22">
        <f t="shared" si="19"/>
        <v>19</v>
      </c>
      <c r="CI3" s="22">
        <f t="shared" si="19"/>
        <v>26</v>
      </c>
      <c r="CJ3" s="21">
        <v>2.0</v>
      </c>
      <c r="CK3" s="22">
        <f t="shared" ref="CK3:CN3" si="20">INDEX(3:3,COLUMN()-1)+7</f>
        <v>9</v>
      </c>
      <c r="CL3" s="22">
        <f t="shared" si="20"/>
        <v>16</v>
      </c>
      <c r="CM3" s="22">
        <f t="shared" si="20"/>
        <v>23</v>
      </c>
      <c r="CN3" s="22">
        <f t="shared" si="20"/>
        <v>30</v>
      </c>
      <c r="CO3" s="21">
        <v>6.0</v>
      </c>
      <c r="CP3" s="22">
        <f t="shared" ref="CP3:CR3" si="21">INDEX(3:3,COLUMN()-1)+7</f>
        <v>13</v>
      </c>
      <c r="CQ3" s="22">
        <f t="shared" si="21"/>
        <v>20</v>
      </c>
      <c r="CR3" s="22">
        <f t="shared" si="21"/>
        <v>27</v>
      </c>
      <c r="CS3" s="23">
        <v>4.0</v>
      </c>
      <c r="CT3" s="24">
        <f t="shared" ref="CT3:CV3" si="22">INDEX(3:3,COLUMN()-1)+7</f>
        <v>11</v>
      </c>
      <c r="CU3" s="24">
        <f t="shared" si="22"/>
        <v>18</v>
      </c>
      <c r="CV3" s="24">
        <f t="shared" si="22"/>
        <v>25</v>
      </c>
      <c r="CW3" s="23">
        <v>1.0</v>
      </c>
      <c r="CX3" s="24">
        <f t="shared" ref="CX3:DA3" si="23">INDEX(3:3,COLUMN()-1)+7</f>
        <v>8</v>
      </c>
      <c r="CY3" s="24">
        <f t="shared" si="23"/>
        <v>15</v>
      </c>
      <c r="CZ3" s="24">
        <f t="shared" si="23"/>
        <v>22</v>
      </c>
      <c r="DA3" s="24">
        <f t="shared" si="23"/>
        <v>29</v>
      </c>
      <c r="DB3" s="23">
        <v>6.0</v>
      </c>
      <c r="DC3" s="24">
        <f t="shared" ref="DC3:DE3" si="24">INDEX(3:3,COLUMN()-1)+7</f>
        <v>13</v>
      </c>
      <c r="DD3" s="24">
        <f t="shared" si="24"/>
        <v>20</v>
      </c>
      <c r="DE3" s="24">
        <f t="shared" si="24"/>
        <v>27</v>
      </c>
    </row>
    <row r="4" ht="21.0" customHeight="1">
      <c r="A4" s="25">
        <v>1.0</v>
      </c>
      <c r="B4" s="26" t="s">
        <v>25</v>
      </c>
      <c r="C4" s="27"/>
      <c r="D4" s="27"/>
      <c r="E4" s="28"/>
      <c r="F4" s="29"/>
      <c r="G4" s="30"/>
      <c r="H4" s="31"/>
      <c r="I4" s="31"/>
      <c r="J4" s="29"/>
      <c r="K4" s="32"/>
      <c r="L4" s="29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29"/>
      <c r="BG4" s="30"/>
      <c r="BH4" s="31"/>
      <c r="BI4" s="31"/>
      <c r="BJ4" s="29"/>
      <c r="BK4" s="32"/>
      <c r="BL4" s="29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</row>
    <row r="5" ht="17.25" customHeight="1" outlineLevel="1">
      <c r="A5" s="33">
        <v>43101.0</v>
      </c>
      <c r="B5" s="34" t="s">
        <v>26</v>
      </c>
      <c r="C5" s="35">
        <v>46027.0</v>
      </c>
      <c r="D5" s="35">
        <v>46031.0</v>
      </c>
      <c r="E5" s="36">
        <v>1.0</v>
      </c>
      <c r="F5" s="37"/>
      <c r="G5" s="38"/>
      <c r="H5" s="39"/>
      <c r="I5" s="39"/>
      <c r="J5" s="39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1"/>
      <c r="BG5" s="38"/>
      <c r="BH5" s="39"/>
      <c r="BI5" s="39"/>
      <c r="BJ5" s="39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</row>
    <row r="6" ht="17.25" customHeight="1" outlineLevel="1">
      <c r="A6" s="42" t="s">
        <v>27</v>
      </c>
      <c r="B6" s="34" t="s">
        <v>28</v>
      </c>
      <c r="C6" s="35">
        <v>46027.0</v>
      </c>
      <c r="D6" s="35">
        <v>46031.0</v>
      </c>
      <c r="E6" s="36">
        <v>1.0</v>
      </c>
      <c r="F6" s="37"/>
      <c r="G6" s="43"/>
      <c r="H6" s="44"/>
      <c r="I6" s="44"/>
      <c r="J6" s="44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6"/>
      <c r="BG6" s="43"/>
      <c r="BH6" s="44"/>
      <c r="BI6" s="44"/>
      <c r="BJ6" s="44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</row>
    <row r="7" ht="17.25" customHeight="1" outlineLevel="1">
      <c r="A7" s="33">
        <v>43160.0</v>
      </c>
      <c r="B7" s="34" t="s">
        <v>29</v>
      </c>
      <c r="C7" s="35">
        <v>46027.0</v>
      </c>
      <c r="D7" s="35">
        <v>46031.0</v>
      </c>
      <c r="E7" s="36">
        <v>1.0</v>
      </c>
      <c r="F7" s="37"/>
      <c r="G7" s="43"/>
      <c r="H7" s="44"/>
      <c r="I7" s="44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6"/>
      <c r="BG7" s="43"/>
      <c r="BH7" s="44"/>
      <c r="BI7" s="44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</row>
    <row r="8" ht="17.25" customHeight="1" outlineLevel="1">
      <c r="A8" s="33">
        <v>43191.0</v>
      </c>
      <c r="B8" s="34" t="s">
        <v>30</v>
      </c>
      <c r="C8" s="35">
        <v>46027.0</v>
      </c>
      <c r="D8" s="35">
        <v>46038.0</v>
      </c>
      <c r="E8" s="36">
        <v>2.0</v>
      </c>
      <c r="F8" s="37"/>
      <c r="G8" s="47"/>
      <c r="H8" s="44"/>
      <c r="I8" s="44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6"/>
      <c r="BG8" s="43"/>
      <c r="BH8" s="44"/>
      <c r="BI8" s="44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</row>
    <row r="9" ht="17.25" customHeight="1" outlineLevel="1">
      <c r="A9" s="33">
        <v>43221.0</v>
      </c>
      <c r="B9" s="34" t="s">
        <v>31</v>
      </c>
      <c r="C9" s="35">
        <v>46041.0</v>
      </c>
      <c r="D9" s="35">
        <v>46045.0</v>
      </c>
      <c r="E9" s="36">
        <v>1.0</v>
      </c>
      <c r="F9" s="46"/>
      <c r="G9" s="48"/>
      <c r="H9" s="49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6"/>
      <c r="BG9" s="43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</row>
    <row r="10" ht="17.25" customHeight="1" outlineLevel="1">
      <c r="A10" s="50">
        <v>43252.0</v>
      </c>
      <c r="B10" s="51" t="s">
        <v>32</v>
      </c>
      <c r="C10" s="52">
        <v>46041.0</v>
      </c>
      <c r="D10" s="52">
        <v>46045.0</v>
      </c>
      <c r="E10" s="53">
        <v>1.0</v>
      </c>
      <c r="F10" s="54"/>
      <c r="G10" s="48"/>
      <c r="H10" s="55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4"/>
      <c r="BG10" s="57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</row>
    <row r="11" ht="21.0" customHeight="1">
      <c r="A11" s="25">
        <v>2.0</v>
      </c>
      <c r="B11" s="58" t="s">
        <v>33</v>
      </c>
      <c r="C11" s="27"/>
      <c r="D11" s="27"/>
      <c r="E11" s="28"/>
      <c r="F11" s="29"/>
      <c r="G11" s="30"/>
      <c r="H11" s="31"/>
      <c r="I11" s="31"/>
      <c r="J11" s="29"/>
      <c r="K11" s="32"/>
      <c r="L11" s="29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29"/>
      <c r="BG11" s="30"/>
      <c r="BH11" s="31"/>
      <c r="BI11" s="31"/>
      <c r="BJ11" s="29"/>
      <c r="BK11" s="32"/>
      <c r="BL11" s="29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</row>
    <row r="12" ht="17.25" customHeight="1" outlineLevel="1">
      <c r="A12" s="33">
        <v>46024.0</v>
      </c>
      <c r="B12" s="34" t="s">
        <v>34</v>
      </c>
      <c r="C12" s="59">
        <v>46048.0</v>
      </c>
      <c r="D12" s="35">
        <v>46052.0</v>
      </c>
      <c r="E12" s="60">
        <v>1.0</v>
      </c>
      <c r="F12" s="41"/>
      <c r="G12" s="38"/>
      <c r="H12" s="39"/>
      <c r="I12" s="61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1"/>
      <c r="BG12" s="38"/>
      <c r="BH12" s="39"/>
      <c r="BI12" s="39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  <c r="CF12" s="40"/>
      <c r="CG12" s="40"/>
      <c r="CH12" s="40"/>
      <c r="CI12" s="40"/>
      <c r="CJ12" s="40"/>
      <c r="CK12" s="40"/>
      <c r="CL12" s="40"/>
      <c r="CM12" s="40"/>
      <c r="CN12" s="40"/>
      <c r="CO12" s="40"/>
      <c r="CP12" s="40"/>
      <c r="CQ12" s="40"/>
      <c r="CR12" s="40"/>
      <c r="CS12" s="40"/>
      <c r="CT12" s="40"/>
      <c r="CU12" s="40"/>
      <c r="CV12" s="40"/>
      <c r="CW12" s="40"/>
      <c r="CX12" s="40"/>
      <c r="CY12" s="40"/>
      <c r="CZ12" s="40"/>
      <c r="DA12" s="40"/>
      <c r="DB12" s="40"/>
      <c r="DC12" s="40"/>
      <c r="DD12" s="40"/>
      <c r="DE12" s="40"/>
    </row>
    <row r="13" ht="17.25" customHeight="1" outlineLevel="1">
      <c r="A13" s="33">
        <v>46055.0</v>
      </c>
      <c r="B13" s="34" t="s">
        <v>35</v>
      </c>
      <c r="C13" s="35">
        <v>46055.0</v>
      </c>
      <c r="D13" s="35">
        <v>46420.0</v>
      </c>
      <c r="E13" s="36">
        <v>50.0</v>
      </c>
      <c r="F13" s="46"/>
      <c r="G13" s="43"/>
      <c r="H13" s="44"/>
      <c r="I13" s="44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62"/>
      <c r="BG13" s="47"/>
      <c r="BH13" s="63"/>
      <c r="BI13" s="63"/>
      <c r="BJ13" s="49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</row>
    <row r="14" ht="17.25" customHeight="1" outlineLevel="1">
      <c r="A14" s="33">
        <v>46083.0</v>
      </c>
      <c r="B14" s="34" t="s">
        <v>36</v>
      </c>
      <c r="C14" s="35">
        <v>46055.0</v>
      </c>
      <c r="D14" s="35">
        <v>46420.0</v>
      </c>
      <c r="E14" s="36">
        <v>50.0</v>
      </c>
      <c r="F14" s="46"/>
      <c r="G14" s="43"/>
      <c r="H14" s="44"/>
      <c r="I14" s="44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62"/>
      <c r="BG14" s="47"/>
      <c r="BH14" s="63"/>
      <c r="BI14" s="63"/>
      <c r="BJ14" s="49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</row>
    <row r="15" ht="17.25" customHeight="1" outlineLevel="1">
      <c r="A15" s="33">
        <v>43192.0</v>
      </c>
      <c r="B15" s="34" t="s">
        <v>37</v>
      </c>
      <c r="C15" s="35">
        <v>46055.0</v>
      </c>
      <c r="D15" s="35">
        <v>46420.0</v>
      </c>
      <c r="E15" s="36">
        <v>50.0</v>
      </c>
      <c r="F15" s="46"/>
      <c r="G15" s="43"/>
      <c r="H15" s="44"/>
      <c r="I15" s="44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62"/>
      <c r="BG15" s="47"/>
      <c r="BH15" s="63"/>
      <c r="BI15" s="63"/>
      <c r="BJ15" s="49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</row>
    <row r="16" ht="21.0" customHeight="1">
      <c r="A16" s="25">
        <v>3.0</v>
      </c>
      <c r="B16" s="26" t="s">
        <v>38</v>
      </c>
      <c r="C16" s="27"/>
      <c r="D16" s="27"/>
      <c r="E16" s="28"/>
      <c r="F16" s="29"/>
      <c r="G16" s="30"/>
      <c r="H16" s="31"/>
      <c r="I16" s="31"/>
      <c r="J16" s="29"/>
      <c r="K16" s="32"/>
      <c r="L16" s="29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29"/>
      <c r="BG16" s="30"/>
      <c r="BH16" s="31"/>
      <c r="BI16" s="31"/>
      <c r="BJ16" s="29"/>
      <c r="BK16" s="32"/>
      <c r="BL16" s="29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</row>
    <row r="17" ht="17.25" customHeight="1" outlineLevel="1">
      <c r="A17" s="64">
        <v>46025.0</v>
      </c>
      <c r="B17" s="34" t="s">
        <v>39</v>
      </c>
      <c r="C17" s="35">
        <v>43172.0</v>
      </c>
      <c r="D17" s="35">
        <v>43172.0</v>
      </c>
      <c r="E17" s="36">
        <v>1.0</v>
      </c>
      <c r="F17" s="41"/>
      <c r="G17" s="38"/>
      <c r="H17" s="39"/>
      <c r="I17" s="78"/>
      <c r="J17" s="74"/>
      <c r="K17" s="74"/>
      <c r="L17" s="74"/>
      <c r="M17" s="74"/>
      <c r="N17" s="79"/>
      <c r="O17" s="79"/>
      <c r="P17" s="79"/>
      <c r="Q17" s="79"/>
      <c r="R17" s="65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80"/>
      <c r="BG17" s="81"/>
      <c r="BH17" s="78"/>
      <c r="BI17" s="78"/>
      <c r="BJ17" s="74"/>
      <c r="BK17" s="74"/>
      <c r="BL17" s="74"/>
      <c r="BM17" s="74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9"/>
      <c r="CZ17" s="79"/>
      <c r="DA17" s="79"/>
      <c r="DB17" s="79"/>
      <c r="DC17" s="79"/>
      <c r="DD17" s="79"/>
      <c r="DE17" s="79"/>
    </row>
    <row r="18" ht="17.25" customHeight="1" outlineLevel="1">
      <c r="A18" s="64">
        <v>46056.0</v>
      </c>
      <c r="B18" s="34" t="s">
        <v>40</v>
      </c>
      <c r="C18" s="35">
        <v>43173.0</v>
      </c>
      <c r="D18" s="35">
        <v>43173.0</v>
      </c>
      <c r="E18" s="36">
        <v>1.0</v>
      </c>
      <c r="F18" s="41"/>
      <c r="G18" s="38"/>
      <c r="H18" s="39"/>
      <c r="I18" s="78"/>
      <c r="J18" s="74"/>
      <c r="K18" s="74"/>
      <c r="L18" s="74"/>
      <c r="M18" s="74"/>
      <c r="N18" s="79"/>
      <c r="O18" s="79"/>
      <c r="P18" s="79"/>
      <c r="Q18" s="79"/>
      <c r="R18" s="65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80"/>
      <c r="BG18" s="81"/>
      <c r="BH18" s="78"/>
      <c r="BI18" s="78"/>
      <c r="BJ18" s="74"/>
      <c r="BK18" s="74"/>
      <c r="BL18" s="74"/>
      <c r="BM18" s="74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79"/>
      <c r="CY18" s="79"/>
      <c r="CZ18" s="79"/>
      <c r="DA18" s="79"/>
      <c r="DB18" s="79"/>
      <c r="DC18" s="79"/>
      <c r="DD18" s="79"/>
      <c r="DE18" s="79"/>
    </row>
    <row r="19" ht="17.25" customHeight="1" outlineLevel="1">
      <c r="A19" s="64">
        <v>46084.0</v>
      </c>
      <c r="B19" s="34" t="s">
        <v>41</v>
      </c>
      <c r="C19" s="35">
        <v>43171.0</v>
      </c>
      <c r="D19" s="35">
        <v>43171.0</v>
      </c>
      <c r="E19" s="36">
        <v>50.0</v>
      </c>
      <c r="F19" s="46"/>
      <c r="G19" s="43"/>
      <c r="H19" s="44"/>
      <c r="I19" s="82"/>
      <c r="J19" s="74"/>
      <c r="K19" s="74"/>
      <c r="L19" s="74"/>
      <c r="M19" s="74"/>
      <c r="N19" s="74"/>
      <c r="O19" s="74"/>
      <c r="P19" s="74"/>
      <c r="Q19" s="74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62"/>
      <c r="BG19" s="47"/>
      <c r="BH19" s="63"/>
      <c r="BI19" s="63"/>
      <c r="BJ19" s="49"/>
      <c r="BK19" s="49"/>
      <c r="BL19" s="49"/>
      <c r="BM19" s="49"/>
      <c r="BN19" s="49"/>
      <c r="BO19" s="49"/>
      <c r="BP19" s="49"/>
      <c r="BQ19" s="49"/>
      <c r="BR19" s="49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74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</row>
    <row r="20" ht="21.0" customHeight="1">
      <c r="A20" s="25">
        <v>4.0</v>
      </c>
      <c r="B20" s="26" t="s">
        <v>42</v>
      </c>
      <c r="C20" s="27"/>
      <c r="D20" s="27"/>
      <c r="E20" s="28"/>
      <c r="F20" s="29"/>
      <c r="G20" s="30"/>
      <c r="H20" s="31"/>
      <c r="I20" s="31"/>
      <c r="J20" s="29"/>
      <c r="K20" s="32"/>
      <c r="L20" s="29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29"/>
      <c r="BG20" s="30"/>
      <c r="BH20" s="31"/>
      <c r="BI20" s="31"/>
      <c r="BJ20" s="29"/>
      <c r="BK20" s="32"/>
      <c r="BL20" s="29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</row>
    <row r="21" ht="17.25" customHeight="1" outlineLevel="1">
      <c r="A21" s="33">
        <v>43104.0</v>
      </c>
      <c r="B21" s="34" t="s">
        <v>43</v>
      </c>
      <c r="C21" s="35">
        <v>43171.0</v>
      </c>
      <c r="D21" s="35">
        <v>43171.0</v>
      </c>
      <c r="E21" s="36">
        <v>1.0</v>
      </c>
      <c r="F21" s="41"/>
      <c r="G21" s="38"/>
      <c r="H21" s="39"/>
      <c r="I21" s="78"/>
      <c r="J21" s="79"/>
      <c r="K21" s="79"/>
      <c r="L21" s="79"/>
      <c r="M21" s="79"/>
      <c r="N21" s="40"/>
      <c r="O21" s="40"/>
      <c r="P21" s="40"/>
      <c r="Q21" s="40"/>
      <c r="R21" s="40"/>
      <c r="S21" s="65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1"/>
      <c r="BG21" s="38"/>
      <c r="BH21" s="39"/>
      <c r="BI21" s="78"/>
      <c r="BJ21" s="79"/>
      <c r="BK21" s="79"/>
      <c r="BL21" s="79"/>
      <c r="BM21" s="79"/>
      <c r="BN21" s="79"/>
      <c r="BO21" s="79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</row>
    <row r="22" ht="21.0" customHeight="1">
      <c r="A22" s="25">
        <v>5.0</v>
      </c>
      <c r="B22" s="26" t="s">
        <v>44</v>
      </c>
      <c r="C22" s="27"/>
      <c r="D22" s="27"/>
      <c r="E22" s="28"/>
      <c r="F22" s="29"/>
      <c r="G22" s="30"/>
      <c r="H22" s="31"/>
      <c r="I22" s="31"/>
      <c r="J22" s="29"/>
      <c r="K22" s="32"/>
      <c r="L22" s="29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29"/>
      <c r="BG22" s="30"/>
      <c r="BH22" s="31"/>
      <c r="BI22" s="31"/>
      <c r="BJ22" s="29"/>
      <c r="BK22" s="32"/>
      <c r="BL22" s="29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</row>
    <row r="23" ht="17.25" customHeight="1" outlineLevel="1">
      <c r="A23" s="33">
        <v>46027.0</v>
      </c>
      <c r="B23" s="34" t="s">
        <v>45</v>
      </c>
      <c r="C23" s="35">
        <v>43171.0</v>
      </c>
      <c r="D23" s="35">
        <v>43171.0</v>
      </c>
      <c r="E23" s="36">
        <v>25.0</v>
      </c>
      <c r="F23" s="41"/>
      <c r="G23" s="38"/>
      <c r="H23" s="39"/>
      <c r="I23" s="3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86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1"/>
      <c r="BG23" s="38"/>
      <c r="BH23" s="39"/>
      <c r="BI23" s="39"/>
      <c r="BJ23" s="40"/>
      <c r="BK23" s="40"/>
      <c r="BL23" s="79"/>
      <c r="BM23" s="79"/>
      <c r="BN23" s="79"/>
      <c r="BO23" s="79"/>
      <c r="BP23" s="79"/>
      <c r="BQ23" s="79"/>
      <c r="BR23" s="79"/>
      <c r="BS23" s="79"/>
      <c r="BT23" s="79"/>
      <c r="BU23" s="79"/>
      <c r="BV23" s="79"/>
      <c r="BW23" s="79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40"/>
      <c r="DB23" s="40"/>
      <c r="DC23" s="40"/>
      <c r="DD23" s="40"/>
      <c r="DE23" s="40"/>
    </row>
    <row r="24" ht="17.25" customHeight="1" outlineLevel="1">
      <c r="A24" s="66">
        <v>46058.0</v>
      </c>
      <c r="B24" s="67" t="s">
        <v>46</v>
      </c>
      <c r="C24" s="35">
        <v>43171.0</v>
      </c>
      <c r="D24" s="35">
        <v>43171.0</v>
      </c>
      <c r="E24" s="68">
        <v>50.0</v>
      </c>
      <c r="F24" s="69"/>
      <c r="G24" s="70"/>
      <c r="H24" s="71"/>
      <c r="I24" s="71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87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88"/>
      <c r="BG24" s="89"/>
      <c r="BH24" s="90"/>
      <c r="BI24" s="90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85"/>
      <c r="BV24" s="85"/>
      <c r="BW24" s="85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2"/>
      <c r="CW24" s="72"/>
      <c r="CX24" s="72"/>
      <c r="CY24" s="72"/>
      <c r="CZ24" s="72"/>
      <c r="DA24" s="72"/>
      <c r="DB24" s="72"/>
      <c r="DC24" s="72"/>
      <c r="DD24" s="72"/>
      <c r="DE24" s="72"/>
    </row>
    <row r="25" ht="17.25" customHeight="1" outlineLevel="1">
      <c r="A25" s="66">
        <v>46086.0</v>
      </c>
      <c r="B25" s="67" t="s">
        <v>47</v>
      </c>
      <c r="C25" s="35">
        <v>43171.0</v>
      </c>
      <c r="D25" s="35">
        <v>43171.0</v>
      </c>
      <c r="E25" s="68">
        <v>25.0</v>
      </c>
      <c r="F25" s="69"/>
      <c r="G25" s="70"/>
      <c r="H25" s="71"/>
      <c r="I25" s="71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87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69"/>
      <c r="BG25" s="70"/>
      <c r="BH25" s="71"/>
      <c r="BI25" s="71"/>
      <c r="BJ25" s="72"/>
      <c r="BK25" s="72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72"/>
      <c r="DC25" s="72"/>
      <c r="DD25" s="72"/>
      <c r="DE25" s="72"/>
    </row>
    <row r="26" ht="21.0" customHeight="1">
      <c r="A26" s="25">
        <v>6.0</v>
      </c>
      <c r="B26" s="26" t="s">
        <v>48</v>
      </c>
      <c r="C26" s="27"/>
      <c r="D26" s="27"/>
      <c r="E26" s="28"/>
      <c r="F26" s="29"/>
      <c r="G26" s="30"/>
      <c r="H26" s="31"/>
      <c r="I26" s="31"/>
      <c r="J26" s="29"/>
      <c r="K26" s="32"/>
      <c r="L26" s="29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29"/>
      <c r="BG26" s="30"/>
      <c r="BH26" s="31"/>
      <c r="BI26" s="31"/>
      <c r="BJ26" s="29"/>
      <c r="BK26" s="32"/>
      <c r="BL26" s="29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</row>
    <row r="27" ht="17.25" customHeight="1" outlineLevel="1">
      <c r="A27" s="33">
        <v>46028.0</v>
      </c>
      <c r="B27" s="34" t="s">
        <v>49</v>
      </c>
      <c r="C27" s="35">
        <v>43171.0</v>
      </c>
      <c r="D27" s="35">
        <v>43171.0</v>
      </c>
      <c r="E27" s="36">
        <v>25.0</v>
      </c>
      <c r="F27" s="41"/>
      <c r="G27" s="38"/>
      <c r="H27" s="39"/>
      <c r="I27" s="39"/>
      <c r="J27" s="40"/>
      <c r="K27" s="40"/>
      <c r="L27" s="40"/>
      <c r="M27" s="40"/>
      <c r="N27" s="40"/>
      <c r="O27" s="40"/>
      <c r="P27" s="40"/>
      <c r="Q27" s="40"/>
      <c r="R27" s="79"/>
      <c r="S27" s="79"/>
      <c r="T27" s="79"/>
      <c r="U27" s="79"/>
      <c r="V27" s="79"/>
      <c r="W27" s="79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40"/>
      <c r="AX27" s="40"/>
      <c r="AY27" s="40"/>
      <c r="AZ27" s="40"/>
      <c r="BA27" s="40"/>
      <c r="BB27" s="40"/>
      <c r="BC27" s="40"/>
      <c r="BD27" s="40"/>
      <c r="BE27" s="40"/>
      <c r="BF27" s="41"/>
      <c r="BG27" s="38"/>
      <c r="BH27" s="39"/>
      <c r="BI27" s="39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79"/>
      <c r="BU27" s="79"/>
      <c r="BV27" s="79"/>
      <c r="BW27" s="79"/>
      <c r="BX27" s="79"/>
      <c r="BY27" s="79"/>
      <c r="BZ27" s="79"/>
      <c r="CA27" s="79"/>
      <c r="CB27" s="79"/>
      <c r="CC27" s="79"/>
      <c r="CD27" s="79"/>
      <c r="CE27" s="79"/>
      <c r="CF27" s="79"/>
      <c r="CG27" s="79"/>
      <c r="CH27" s="79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</row>
    <row r="28" ht="17.25" customHeight="1" outlineLevel="1">
      <c r="A28" s="33">
        <v>46059.0</v>
      </c>
      <c r="B28" s="34" t="s">
        <v>50</v>
      </c>
      <c r="C28" s="35">
        <v>43171.0</v>
      </c>
      <c r="D28" s="35">
        <v>43171.0</v>
      </c>
      <c r="E28" s="36">
        <v>25.0</v>
      </c>
      <c r="F28" s="41"/>
      <c r="G28" s="38"/>
      <c r="H28" s="39"/>
      <c r="I28" s="39"/>
      <c r="J28" s="40"/>
      <c r="K28" s="40"/>
      <c r="L28" s="40"/>
      <c r="M28" s="40"/>
      <c r="N28" s="40"/>
      <c r="O28" s="40"/>
      <c r="P28" s="40"/>
      <c r="Q28" s="40"/>
      <c r="R28" s="79"/>
      <c r="S28" s="79"/>
      <c r="T28" s="79"/>
      <c r="U28" s="79"/>
      <c r="V28" s="79"/>
      <c r="W28" s="79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40"/>
      <c r="AX28" s="40"/>
      <c r="AY28" s="40"/>
      <c r="AZ28" s="40"/>
      <c r="BA28" s="40"/>
      <c r="BB28" s="40"/>
      <c r="BC28" s="40"/>
      <c r="BD28" s="40"/>
      <c r="BE28" s="40"/>
      <c r="BF28" s="41"/>
      <c r="BG28" s="38"/>
      <c r="BH28" s="39"/>
      <c r="BI28" s="39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</row>
    <row r="29" ht="21.0" customHeight="1">
      <c r="A29" s="25">
        <v>7.0</v>
      </c>
      <c r="B29" s="26" t="s">
        <v>51</v>
      </c>
      <c r="C29" s="27"/>
      <c r="D29" s="27"/>
      <c r="E29" s="28"/>
      <c r="F29" s="29"/>
      <c r="G29" s="30"/>
      <c r="H29" s="31"/>
      <c r="I29" s="31"/>
      <c r="J29" s="29"/>
      <c r="K29" s="32"/>
      <c r="L29" s="29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29"/>
      <c r="BG29" s="30"/>
      <c r="BH29" s="31"/>
      <c r="BI29" s="31"/>
      <c r="BJ29" s="29"/>
      <c r="BK29" s="32"/>
      <c r="BL29" s="29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</row>
    <row r="30" ht="17.25" customHeight="1" outlineLevel="1">
      <c r="A30" s="42" t="s">
        <v>52</v>
      </c>
      <c r="B30" s="34" t="s">
        <v>53</v>
      </c>
      <c r="C30" s="35">
        <v>43174.0</v>
      </c>
      <c r="D30" s="35">
        <v>43175.0</v>
      </c>
      <c r="E30" s="36">
        <v>2.0</v>
      </c>
      <c r="F30" s="46"/>
      <c r="G30" s="43"/>
      <c r="H30" s="82"/>
      <c r="I30" s="82"/>
      <c r="J30" s="82"/>
      <c r="K30" s="74"/>
      <c r="L30" s="74"/>
      <c r="M30" s="74"/>
      <c r="N30" s="74"/>
      <c r="O30" s="74"/>
      <c r="P30" s="74"/>
      <c r="Q30" s="74"/>
      <c r="R30" s="45"/>
      <c r="S30" s="45"/>
      <c r="T30" s="45"/>
      <c r="U30" s="45"/>
      <c r="V30" s="45"/>
      <c r="W30" s="45"/>
      <c r="X30" s="45"/>
      <c r="Y30" s="74"/>
      <c r="Z30" s="74"/>
      <c r="AA30" s="74"/>
      <c r="AB30" s="74"/>
      <c r="AC30" s="74"/>
      <c r="AD30" s="74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6"/>
      <c r="BG30" s="43"/>
      <c r="BH30" s="44"/>
      <c r="BI30" s="44"/>
      <c r="BJ30" s="44"/>
      <c r="BK30" s="49"/>
      <c r="BL30" s="49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74"/>
      <c r="CG30" s="74"/>
      <c r="CH30" s="74"/>
      <c r="CI30" s="74"/>
      <c r="CJ30" s="74"/>
      <c r="CK30" s="74"/>
      <c r="CL30" s="74"/>
      <c r="CM30" s="74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</row>
    <row r="31" ht="17.25" customHeight="1" outlineLevel="1">
      <c r="A31" s="42" t="s">
        <v>54</v>
      </c>
      <c r="B31" s="34" t="s">
        <v>55</v>
      </c>
      <c r="C31" s="35">
        <v>43174.0</v>
      </c>
      <c r="D31" s="35">
        <v>43175.0</v>
      </c>
      <c r="E31" s="36">
        <v>4.0</v>
      </c>
      <c r="F31" s="46"/>
      <c r="G31" s="43"/>
      <c r="H31" s="82"/>
      <c r="I31" s="82"/>
      <c r="J31" s="82"/>
      <c r="K31" s="74"/>
      <c r="L31" s="74"/>
      <c r="M31" s="74"/>
      <c r="N31" s="74"/>
      <c r="O31" s="74"/>
      <c r="P31" s="74"/>
      <c r="Q31" s="74"/>
      <c r="R31" s="45"/>
      <c r="S31" s="45"/>
      <c r="T31" s="45"/>
      <c r="U31" s="45"/>
      <c r="V31" s="45"/>
      <c r="W31" s="45"/>
      <c r="X31" s="45"/>
      <c r="Y31" s="74"/>
      <c r="Z31" s="74"/>
      <c r="AA31" s="74"/>
      <c r="AB31" s="74"/>
      <c r="AC31" s="75"/>
      <c r="AD31" s="74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6"/>
      <c r="BG31" s="43"/>
      <c r="BH31" s="44"/>
      <c r="BI31" s="44"/>
      <c r="BJ31" s="44"/>
      <c r="BK31" s="45"/>
      <c r="BL31" s="45"/>
      <c r="BM31" s="49"/>
      <c r="BN31" s="49"/>
      <c r="BO31" s="49"/>
      <c r="BP31" s="49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74"/>
      <c r="CG31" s="74"/>
      <c r="CH31" s="91"/>
      <c r="CI31" s="91"/>
      <c r="CJ31" s="91"/>
      <c r="CK31" s="91"/>
      <c r="CL31" s="74"/>
      <c r="CM31" s="74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</row>
    <row r="32" ht="21.0" customHeight="1">
      <c r="A32" s="25">
        <v>8.0</v>
      </c>
      <c r="B32" s="26" t="s">
        <v>56</v>
      </c>
      <c r="C32" s="27"/>
      <c r="D32" s="27"/>
      <c r="E32" s="28"/>
      <c r="F32" s="29"/>
      <c r="G32" s="30"/>
      <c r="H32" s="31"/>
      <c r="I32" s="31"/>
      <c r="J32" s="29"/>
      <c r="K32" s="32"/>
      <c r="L32" s="29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29"/>
      <c r="BG32" s="30"/>
      <c r="BH32" s="31"/>
      <c r="BI32" s="31"/>
      <c r="BJ32" s="29"/>
      <c r="BK32" s="32"/>
      <c r="BL32" s="29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</row>
    <row r="33" ht="17.25" customHeight="1" outlineLevel="1">
      <c r="A33" s="42" t="s">
        <v>57</v>
      </c>
      <c r="B33" s="34" t="s">
        <v>58</v>
      </c>
      <c r="C33" s="35">
        <v>43174.0</v>
      </c>
      <c r="D33" s="35">
        <v>43175.0</v>
      </c>
      <c r="E33" s="36">
        <v>2.0</v>
      </c>
      <c r="F33" s="46"/>
      <c r="G33" s="43"/>
      <c r="H33" s="44"/>
      <c r="I33" s="82"/>
      <c r="J33" s="82"/>
      <c r="K33" s="74"/>
      <c r="L33" s="74"/>
      <c r="M33" s="74"/>
      <c r="N33" s="74"/>
      <c r="O33" s="74"/>
      <c r="P33" s="74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6"/>
      <c r="BG33" s="43"/>
      <c r="BH33" s="44"/>
      <c r="BI33" s="44"/>
      <c r="BJ33" s="44"/>
      <c r="BK33" s="49"/>
      <c r="BL33" s="49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74"/>
      <c r="CE33" s="74"/>
      <c r="CF33" s="74"/>
      <c r="CG33" s="74"/>
      <c r="CH33" s="74"/>
      <c r="CI33" s="74"/>
      <c r="CJ33" s="74"/>
      <c r="CK33" s="74"/>
      <c r="CL33" s="74"/>
      <c r="CM33" s="74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</row>
    <row r="34" ht="17.25" customHeight="1" outlineLevel="1">
      <c r="A34" s="42" t="s">
        <v>59</v>
      </c>
      <c r="B34" s="34" t="s">
        <v>60</v>
      </c>
      <c r="C34" s="35">
        <v>43174.0</v>
      </c>
      <c r="D34" s="35">
        <v>43175.0</v>
      </c>
      <c r="E34" s="36">
        <v>4.0</v>
      </c>
      <c r="F34" s="46"/>
      <c r="G34" s="43"/>
      <c r="H34" s="44"/>
      <c r="I34" s="82"/>
      <c r="J34" s="82"/>
      <c r="K34" s="74"/>
      <c r="L34" s="74"/>
      <c r="M34" s="74"/>
      <c r="N34" s="74"/>
      <c r="O34" s="74"/>
      <c r="P34" s="74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6"/>
      <c r="BG34" s="43"/>
      <c r="BH34" s="44"/>
      <c r="BI34" s="44"/>
      <c r="BJ34" s="44"/>
      <c r="BK34" s="45"/>
      <c r="BL34" s="45"/>
      <c r="BM34" s="49"/>
      <c r="BN34" s="49"/>
      <c r="BO34" s="49"/>
      <c r="BP34" s="49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74"/>
      <c r="CE34" s="74"/>
      <c r="CF34" s="74"/>
      <c r="CG34" s="74"/>
      <c r="CH34" s="74"/>
      <c r="CI34" s="74"/>
      <c r="CJ34" s="74"/>
      <c r="CK34" s="74"/>
      <c r="CL34" s="74"/>
      <c r="CM34" s="74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</row>
    <row r="35" ht="17.25" customHeight="1" outlineLevel="1">
      <c r="A35" s="42" t="s">
        <v>61</v>
      </c>
      <c r="B35" s="34" t="s">
        <v>62</v>
      </c>
      <c r="C35" s="35">
        <v>43174.0</v>
      </c>
      <c r="D35" s="35">
        <v>43175.0</v>
      </c>
      <c r="E35" s="36">
        <v>4.0</v>
      </c>
      <c r="F35" s="46"/>
      <c r="G35" s="43"/>
      <c r="H35" s="44"/>
      <c r="I35" s="82"/>
      <c r="J35" s="82"/>
      <c r="K35" s="74"/>
      <c r="L35" s="74"/>
      <c r="M35" s="74"/>
      <c r="N35" s="74"/>
      <c r="O35" s="74"/>
      <c r="P35" s="74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6"/>
      <c r="BG35" s="43"/>
      <c r="BH35" s="44"/>
      <c r="BI35" s="44"/>
      <c r="BJ35" s="44"/>
      <c r="BK35" s="45"/>
      <c r="BL35" s="45"/>
      <c r="BM35" s="49"/>
      <c r="BN35" s="49"/>
      <c r="BO35" s="49"/>
      <c r="BP35" s="49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74"/>
      <c r="CE35" s="74"/>
      <c r="CF35" s="74"/>
      <c r="CG35" s="74"/>
      <c r="CH35" s="74"/>
      <c r="CI35" s="74"/>
      <c r="CJ35" s="74"/>
      <c r="CK35" s="74"/>
      <c r="CL35" s="74"/>
      <c r="CM35" s="74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</row>
    <row r="36" ht="21.0" customHeight="1">
      <c r="A36" s="25">
        <v>9.0</v>
      </c>
      <c r="B36" s="26" t="s">
        <v>63</v>
      </c>
      <c r="C36" s="27"/>
      <c r="D36" s="27"/>
      <c r="E36" s="28"/>
      <c r="F36" s="29"/>
      <c r="G36" s="30"/>
      <c r="H36" s="31"/>
      <c r="I36" s="31"/>
      <c r="J36" s="29"/>
      <c r="K36" s="32"/>
      <c r="L36" s="29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29"/>
      <c r="BG36" s="30"/>
      <c r="BH36" s="31"/>
      <c r="BI36" s="31"/>
      <c r="BJ36" s="29"/>
      <c r="BK36" s="32"/>
      <c r="BL36" s="29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</row>
    <row r="37" ht="17.25" customHeight="1" outlineLevel="1">
      <c r="A37" s="42" t="s">
        <v>64</v>
      </c>
      <c r="B37" s="34" t="s">
        <v>65</v>
      </c>
      <c r="C37" s="35">
        <v>43174.0</v>
      </c>
      <c r="D37" s="35">
        <v>43175.0</v>
      </c>
      <c r="E37" s="36">
        <v>4.0</v>
      </c>
      <c r="F37" s="46"/>
      <c r="G37" s="43"/>
      <c r="H37" s="44"/>
      <c r="I37" s="44"/>
      <c r="J37" s="44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6"/>
      <c r="BG37" s="43"/>
      <c r="BH37" s="44"/>
      <c r="BI37" s="44"/>
      <c r="BJ37" s="82"/>
      <c r="BK37" s="74"/>
      <c r="BL37" s="74"/>
      <c r="BM37" s="74"/>
      <c r="BN37" s="74"/>
      <c r="BO37" s="74"/>
      <c r="BP37" s="45"/>
      <c r="BQ37" s="49"/>
      <c r="BR37" s="49"/>
      <c r="BS37" s="49"/>
      <c r="BT37" s="49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74"/>
      <c r="CK37" s="74"/>
      <c r="CL37" s="74"/>
      <c r="CM37" s="74"/>
      <c r="CN37" s="74"/>
      <c r="CO37" s="74"/>
      <c r="CP37" s="74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</row>
    <row r="38" ht="17.25" customHeight="1" outlineLevel="1">
      <c r="A38" s="42" t="s">
        <v>66</v>
      </c>
      <c r="B38" s="34" t="s">
        <v>67</v>
      </c>
      <c r="C38" s="35">
        <v>43174.0</v>
      </c>
      <c r="D38" s="35">
        <v>43175.0</v>
      </c>
      <c r="E38" s="36">
        <v>4.0</v>
      </c>
      <c r="F38" s="46"/>
      <c r="G38" s="43"/>
      <c r="H38" s="44"/>
      <c r="I38" s="44"/>
      <c r="J38" s="44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6"/>
      <c r="BG38" s="43"/>
      <c r="BH38" s="44"/>
      <c r="BI38" s="44"/>
      <c r="BJ38" s="82"/>
      <c r="BK38" s="74"/>
      <c r="BL38" s="74"/>
      <c r="BM38" s="74"/>
      <c r="BN38" s="74"/>
      <c r="BO38" s="74"/>
      <c r="BP38" s="45"/>
      <c r="BQ38" s="49"/>
      <c r="BR38" s="49"/>
      <c r="BS38" s="49"/>
      <c r="BT38" s="49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74"/>
      <c r="CK38" s="74"/>
      <c r="CL38" s="74"/>
      <c r="CM38" s="74"/>
      <c r="CN38" s="74"/>
      <c r="CO38" s="74"/>
      <c r="CP38" s="74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</row>
    <row r="39" ht="21.0" customHeight="1">
      <c r="A39" s="25">
        <v>10.0</v>
      </c>
      <c r="B39" s="26" t="s">
        <v>68</v>
      </c>
      <c r="C39" s="27"/>
      <c r="D39" s="27"/>
      <c r="E39" s="28"/>
      <c r="F39" s="29"/>
      <c r="G39" s="30"/>
      <c r="H39" s="31"/>
      <c r="I39" s="31"/>
      <c r="J39" s="29"/>
      <c r="K39" s="32"/>
      <c r="L39" s="29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29"/>
      <c r="BG39" s="30"/>
      <c r="BH39" s="31"/>
      <c r="BI39" s="31"/>
      <c r="BJ39" s="29"/>
      <c r="BK39" s="32"/>
      <c r="BL39" s="29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</row>
    <row r="40" ht="17.25" customHeight="1" outlineLevel="1">
      <c r="A40" s="42" t="s">
        <v>69</v>
      </c>
      <c r="B40" s="34" t="s">
        <v>70</v>
      </c>
      <c r="C40" s="35">
        <v>43174.0</v>
      </c>
      <c r="D40" s="35">
        <v>43175.0</v>
      </c>
      <c r="E40" s="36">
        <v>6.0</v>
      </c>
      <c r="F40" s="46"/>
      <c r="G40" s="43"/>
      <c r="H40" s="44"/>
      <c r="I40" s="44"/>
      <c r="J40" s="44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6"/>
      <c r="BG40" s="43"/>
      <c r="BH40" s="44"/>
      <c r="BI40" s="44"/>
      <c r="BJ40" s="44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9"/>
      <c r="BV40" s="49"/>
      <c r="BW40" s="49"/>
      <c r="BX40" s="49"/>
      <c r="BY40" s="49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74"/>
      <c r="CO40" s="74"/>
      <c r="CP40" s="74"/>
      <c r="CQ40" s="74"/>
      <c r="CR40" s="74"/>
      <c r="CS40" s="74"/>
      <c r="CT40" s="74"/>
      <c r="CU40" s="74"/>
      <c r="CV40" s="74"/>
      <c r="CW40" s="74"/>
      <c r="CX40" s="45"/>
      <c r="CY40" s="45"/>
      <c r="CZ40" s="45"/>
      <c r="DA40" s="45"/>
      <c r="DB40" s="45"/>
      <c r="DC40" s="45"/>
      <c r="DD40" s="45"/>
      <c r="DE40" s="45"/>
    </row>
    <row r="41" ht="17.25" customHeight="1" outlineLevel="1">
      <c r="A41" s="42" t="s">
        <v>71</v>
      </c>
      <c r="B41" s="34" t="s">
        <v>72</v>
      </c>
      <c r="C41" s="35">
        <v>43174.0</v>
      </c>
      <c r="D41" s="35">
        <v>43175.0</v>
      </c>
      <c r="E41" s="36">
        <v>6.0</v>
      </c>
      <c r="F41" s="46"/>
      <c r="G41" s="43"/>
      <c r="H41" s="44"/>
      <c r="I41" s="44"/>
      <c r="J41" s="44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6"/>
      <c r="BG41" s="43"/>
      <c r="BH41" s="44"/>
      <c r="BI41" s="44"/>
      <c r="BJ41" s="44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9"/>
      <c r="BV41" s="49"/>
      <c r="BW41" s="49"/>
      <c r="BX41" s="49"/>
      <c r="BY41" s="49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74"/>
      <c r="CO41" s="74"/>
      <c r="CP41" s="74"/>
      <c r="CQ41" s="74"/>
      <c r="CR41" s="74"/>
      <c r="CS41" s="74"/>
      <c r="CT41" s="74"/>
      <c r="CU41" s="74"/>
      <c r="CV41" s="74"/>
      <c r="CW41" s="74"/>
      <c r="CX41" s="45"/>
      <c r="CY41" s="45"/>
      <c r="CZ41" s="45"/>
      <c r="DA41" s="45"/>
      <c r="DB41" s="45"/>
      <c r="DC41" s="45"/>
      <c r="DD41" s="45"/>
      <c r="DE41" s="45"/>
    </row>
    <row r="42" ht="21.0" customHeight="1">
      <c r="A42" s="25">
        <v>11.0</v>
      </c>
      <c r="B42" s="26" t="s">
        <v>73</v>
      </c>
      <c r="C42" s="27"/>
      <c r="D42" s="27"/>
      <c r="E42" s="28"/>
      <c r="F42" s="29"/>
      <c r="G42" s="30"/>
      <c r="H42" s="31"/>
      <c r="I42" s="31"/>
      <c r="J42" s="29"/>
      <c r="K42" s="32"/>
      <c r="L42" s="29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29"/>
      <c r="BG42" s="30"/>
      <c r="BH42" s="31"/>
      <c r="BI42" s="31"/>
      <c r="BJ42" s="29"/>
      <c r="BK42" s="32"/>
      <c r="BL42" s="29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</row>
    <row r="43" ht="17.25" customHeight="1" outlineLevel="1">
      <c r="A43" s="42" t="s">
        <v>74</v>
      </c>
      <c r="B43" s="34" t="s">
        <v>75</v>
      </c>
      <c r="C43" s="35">
        <v>43174.0</v>
      </c>
      <c r="D43" s="35">
        <v>43175.0</v>
      </c>
      <c r="E43" s="36">
        <v>4.0</v>
      </c>
      <c r="F43" s="46"/>
      <c r="G43" s="43"/>
      <c r="H43" s="44"/>
      <c r="I43" s="44"/>
      <c r="J43" s="44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6"/>
      <c r="BG43" s="43"/>
      <c r="BH43" s="44"/>
      <c r="BI43" s="44"/>
      <c r="BJ43" s="44"/>
      <c r="BK43" s="45"/>
      <c r="BL43" s="45"/>
      <c r="BM43" s="45"/>
      <c r="BN43" s="45"/>
      <c r="BO43" s="45"/>
      <c r="BP43" s="45"/>
      <c r="BQ43" s="45"/>
      <c r="BR43" s="45"/>
      <c r="BS43" s="45"/>
      <c r="BT43" s="74"/>
      <c r="BU43" s="74"/>
      <c r="BV43" s="74"/>
      <c r="BW43" s="74"/>
      <c r="BX43" s="74"/>
      <c r="BY43" s="74"/>
      <c r="BZ43" s="49"/>
      <c r="CA43" s="49"/>
      <c r="CB43" s="49"/>
      <c r="CC43" s="49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74"/>
      <c r="CV43" s="74"/>
      <c r="CW43" s="74"/>
      <c r="CX43" s="74"/>
      <c r="CY43" s="74"/>
      <c r="CZ43" s="74"/>
      <c r="DA43" s="74"/>
      <c r="DB43" s="74"/>
      <c r="DC43" s="74"/>
      <c r="DD43" s="74"/>
      <c r="DE43" s="45"/>
    </row>
    <row r="44" ht="17.25" customHeight="1" outlineLevel="1">
      <c r="A44" s="42" t="s">
        <v>76</v>
      </c>
      <c r="B44" s="34" t="s">
        <v>77</v>
      </c>
      <c r="C44" s="35">
        <v>43174.0</v>
      </c>
      <c r="D44" s="35">
        <v>43175.0</v>
      </c>
      <c r="E44" s="36">
        <v>4.0</v>
      </c>
      <c r="F44" s="46"/>
      <c r="G44" s="43"/>
      <c r="H44" s="44"/>
      <c r="I44" s="44"/>
      <c r="J44" s="44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6"/>
      <c r="BG44" s="43"/>
      <c r="BH44" s="44"/>
      <c r="BI44" s="44"/>
      <c r="BJ44" s="44"/>
      <c r="BK44" s="45"/>
      <c r="BL44" s="45"/>
      <c r="BM44" s="45"/>
      <c r="BN44" s="45"/>
      <c r="BO44" s="45"/>
      <c r="BP44" s="45"/>
      <c r="BQ44" s="45"/>
      <c r="BR44" s="45"/>
      <c r="BS44" s="45"/>
      <c r="BT44" s="74"/>
      <c r="BU44" s="74"/>
      <c r="BV44" s="74"/>
      <c r="BW44" s="74"/>
      <c r="BX44" s="74"/>
      <c r="BY44" s="74"/>
      <c r="BZ44" s="74"/>
      <c r="CA44" s="74"/>
      <c r="CB44" s="74"/>
      <c r="CC44" s="74"/>
      <c r="CD44" s="49"/>
      <c r="CE44" s="49"/>
      <c r="CF44" s="49"/>
      <c r="CG44" s="49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74"/>
      <c r="CV44" s="74"/>
      <c r="CW44" s="74"/>
      <c r="CX44" s="74"/>
      <c r="CY44" s="74"/>
      <c r="CZ44" s="74"/>
      <c r="DA44" s="74"/>
      <c r="DB44" s="74"/>
      <c r="DC44" s="74"/>
      <c r="DD44" s="74"/>
      <c r="DE44" s="45"/>
    </row>
  </sheetData>
  <mergeCells count="37">
    <mergeCell ref="AF1:AR1"/>
    <mergeCell ref="AS1:BE1"/>
    <mergeCell ref="BF1:BR1"/>
    <mergeCell ref="BS1:CE1"/>
    <mergeCell ref="CF1:CR1"/>
    <mergeCell ref="CS1:DE1"/>
    <mergeCell ref="F2:I2"/>
    <mergeCell ref="J2:M2"/>
    <mergeCell ref="N2:R2"/>
    <mergeCell ref="S2:V2"/>
    <mergeCell ref="A1:A2"/>
    <mergeCell ref="B1:B2"/>
    <mergeCell ref="C1:C2"/>
    <mergeCell ref="D1:D2"/>
    <mergeCell ref="E1:E2"/>
    <mergeCell ref="F1:R1"/>
    <mergeCell ref="S1:AE1"/>
    <mergeCell ref="W2:Z2"/>
    <mergeCell ref="AA2:AE2"/>
    <mergeCell ref="AF2:AI2"/>
    <mergeCell ref="AJ2:AN2"/>
    <mergeCell ref="AO2:AR2"/>
    <mergeCell ref="AS2:AV2"/>
    <mergeCell ref="AW2:BA2"/>
    <mergeCell ref="CF2:CI2"/>
    <mergeCell ref="CJ2:CN2"/>
    <mergeCell ref="CO2:CR2"/>
    <mergeCell ref="CS2:CV2"/>
    <mergeCell ref="CW2:DA2"/>
    <mergeCell ref="DB2:DE2"/>
    <mergeCell ref="BB2:BE2"/>
    <mergeCell ref="BF2:BI2"/>
    <mergeCell ref="BJ2:BM2"/>
    <mergeCell ref="BN2:BR2"/>
    <mergeCell ref="BS2:BV2"/>
    <mergeCell ref="BW2:CA2"/>
    <mergeCell ref="CB2:CE2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11.13"/>
    <col customWidth="1" min="2" max="2" width="55.13"/>
    <col customWidth="1" min="3" max="3" width="11.63"/>
    <col customWidth="1" min="4" max="107" width="3.0"/>
  </cols>
  <sheetData>
    <row r="1" ht="17.25" customHeight="1">
      <c r="A1" s="1" t="s">
        <v>81</v>
      </c>
      <c r="B1" s="2" t="s">
        <v>1</v>
      </c>
      <c r="C1" s="3" t="s">
        <v>4</v>
      </c>
      <c r="D1" s="4" t="s">
        <v>5</v>
      </c>
      <c r="Q1" s="5" t="s">
        <v>6</v>
      </c>
      <c r="AD1" s="6" t="s">
        <v>7</v>
      </c>
      <c r="AQ1" s="7" t="s">
        <v>8</v>
      </c>
      <c r="BC1" s="8"/>
      <c r="BD1" s="4" t="s">
        <v>9</v>
      </c>
      <c r="BQ1" s="5" t="s">
        <v>10</v>
      </c>
      <c r="CD1" s="6" t="s">
        <v>11</v>
      </c>
      <c r="CQ1" s="7" t="s">
        <v>12</v>
      </c>
      <c r="DC1" s="8"/>
    </row>
    <row r="2" ht="17.25" customHeight="1">
      <c r="D2" s="9" t="s">
        <v>13</v>
      </c>
      <c r="E2" s="10"/>
      <c r="F2" s="10"/>
      <c r="G2" s="11"/>
      <c r="H2" s="9" t="s">
        <v>14</v>
      </c>
      <c r="I2" s="10"/>
      <c r="J2" s="10"/>
      <c r="K2" s="11"/>
      <c r="L2" s="9" t="s">
        <v>15</v>
      </c>
      <c r="M2" s="10"/>
      <c r="N2" s="10"/>
      <c r="O2" s="10"/>
      <c r="P2" s="11"/>
      <c r="Q2" s="12" t="s">
        <v>16</v>
      </c>
      <c r="R2" s="10"/>
      <c r="S2" s="10"/>
      <c r="T2" s="11"/>
      <c r="U2" s="12" t="s">
        <v>17</v>
      </c>
      <c r="V2" s="10"/>
      <c r="W2" s="10"/>
      <c r="X2" s="11"/>
      <c r="Y2" s="12" t="s">
        <v>18</v>
      </c>
      <c r="Z2" s="10"/>
      <c r="AA2" s="10"/>
      <c r="AB2" s="10"/>
      <c r="AC2" s="11"/>
      <c r="AD2" s="13" t="s">
        <v>19</v>
      </c>
      <c r="AE2" s="10"/>
      <c r="AF2" s="10"/>
      <c r="AG2" s="11"/>
      <c r="AH2" s="13" t="s">
        <v>20</v>
      </c>
      <c r="AI2" s="10"/>
      <c r="AJ2" s="10"/>
      <c r="AK2" s="10"/>
      <c r="AL2" s="11"/>
      <c r="AM2" s="13" t="s">
        <v>21</v>
      </c>
      <c r="AN2" s="10"/>
      <c r="AO2" s="10"/>
      <c r="AP2" s="11"/>
      <c r="AQ2" s="14" t="s">
        <v>22</v>
      </c>
      <c r="AR2" s="10"/>
      <c r="AS2" s="10"/>
      <c r="AT2" s="11"/>
      <c r="AU2" s="14" t="s">
        <v>23</v>
      </c>
      <c r="AV2" s="10"/>
      <c r="AW2" s="10"/>
      <c r="AX2" s="10"/>
      <c r="AY2" s="11"/>
      <c r="AZ2" s="14" t="s">
        <v>24</v>
      </c>
      <c r="BA2" s="10"/>
      <c r="BB2" s="10"/>
      <c r="BC2" s="11"/>
      <c r="BD2" s="9" t="s">
        <v>13</v>
      </c>
      <c r="BE2" s="10"/>
      <c r="BF2" s="10"/>
      <c r="BG2" s="11"/>
      <c r="BH2" s="9" t="s">
        <v>14</v>
      </c>
      <c r="BI2" s="10"/>
      <c r="BJ2" s="10"/>
      <c r="BK2" s="11"/>
      <c r="BL2" s="9" t="s">
        <v>15</v>
      </c>
      <c r="BM2" s="10"/>
      <c r="BN2" s="10"/>
      <c r="BO2" s="10"/>
      <c r="BP2" s="11"/>
      <c r="BQ2" s="12" t="s">
        <v>16</v>
      </c>
      <c r="BR2" s="10"/>
      <c r="BS2" s="10"/>
      <c r="BT2" s="11"/>
      <c r="BU2" s="12" t="s">
        <v>17</v>
      </c>
      <c r="BV2" s="10"/>
      <c r="BW2" s="10"/>
      <c r="BX2" s="10"/>
      <c r="BY2" s="11"/>
      <c r="BZ2" s="12" t="s">
        <v>18</v>
      </c>
      <c r="CA2" s="10"/>
      <c r="CB2" s="10"/>
      <c r="CC2" s="11"/>
      <c r="CD2" s="13" t="s">
        <v>19</v>
      </c>
      <c r="CE2" s="10"/>
      <c r="CF2" s="10"/>
      <c r="CG2" s="11"/>
      <c r="CH2" s="13" t="s">
        <v>20</v>
      </c>
      <c r="CI2" s="10"/>
      <c r="CJ2" s="10"/>
      <c r="CK2" s="10"/>
      <c r="CL2" s="11"/>
      <c r="CM2" s="13" t="s">
        <v>21</v>
      </c>
      <c r="CN2" s="10"/>
      <c r="CO2" s="10"/>
      <c r="CP2" s="11"/>
      <c r="CQ2" s="14" t="s">
        <v>22</v>
      </c>
      <c r="CR2" s="10"/>
      <c r="CS2" s="10"/>
      <c r="CT2" s="11"/>
      <c r="CU2" s="14" t="s">
        <v>23</v>
      </c>
      <c r="CV2" s="10"/>
      <c r="CW2" s="10"/>
      <c r="CX2" s="10"/>
      <c r="CY2" s="11"/>
      <c r="CZ2" s="14" t="s">
        <v>24</v>
      </c>
      <c r="DA2" s="10"/>
      <c r="DB2" s="10"/>
      <c r="DC2" s="11"/>
    </row>
    <row r="3" ht="21.0" customHeight="1">
      <c r="A3" s="25">
        <v>1.0</v>
      </c>
      <c r="B3" s="26" t="s">
        <v>25</v>
      </c>
      <c r="C3" s="28"/>
      <c r="D3" s="29"/>
      <c r="E3" s="30"/>
      <c r="F3" s="31"/>
      <c r="G3" s="31"/>
      <c r="H3" s="29"/>
      <c r="I3" s="32"/>
      <c r="J3" s="29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29"/>
      <c r="BE3" s="30"/>
      <c r="BF3" s="31"/>
      <c r="BG3" s="31"/>
      <c r="BH3" s="29"/>
      <c r="BI3" s="32"/>
      <c r="BJ3" s="29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</row>
    <row r="4" ht="17.25" customHeight="1" outlineLevel="1">
      <c r="A4" s="33">
        <v>43101.0</v>
      </c>
      <c r="B4" s="34" t="s">
        <v>26</v>
      </c>
      <c r="C4" s="36">
        <v>1.0</v>
      </c>
      <c r="D4" s="37"/>
      <c r="E4" s="38"/>
      <c r="F4" s="39"/>
      <c r="G4" s="39"/>
      <c r="H4" s="39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1"/>
      <c r="BE4" s="38"/>
      <c r="BF4" s="39"/>
      <c r="BG4" s="39"/>
      <c r="BH4" s="39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</row>
    <row r="5" ht="17.25" customHeight="1" outlineLevel="1">
      <c r="A5" s="42" t="s">
        <v>27</v>
      </c>
      <c r="B5" s="34" t="s">
        <v>28</v>
      </c>
      <c r="C5" s="36">
        <v>1.0</v>
      </c>
      <c r="D5" s="37"/>
      <c r="E5" s="43"/>
      <c r="F5" s="44"/>
      <c r="G5" s="44"/>
      <c r="H5" s="44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6"/>
      <c r="BE5" s="43"/>
      <c r="BF5" s="44"/>
      <c r="BG5" s="44"/>
      <c r="BH5" s="44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</row>
    <row r="6" ht="17.25" customHeight="1" outlineLevel="1">
      <c r="A6" s="33">
        <v>43160.0</v>
      </c>
      <c r="B6" s="34" t="s">
        <v>29</v>
      </c>
      <c r="C6" s="36">
        <v>1.0</v>
      </c>
      <c r="D6" s="37"/>
      <c r="E6" s="43"/>
      <c r="F6" s="44"/>
      <c r="G6" s="44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6"/>
      <c r="BE6" s="43"/>
      <c r="BF6" s="44"/>
      <c r="BG6" s="44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</row>
    <row r="7" ht="17.25" customHeight="1" outlineLevel="1">
      <c r="A7" s="33">
        <v>43191.0</v>
      </c>
      <c r="B7" s="34" t="s">
        <v>30</v>
      </c>
      <c r="C7" s="36">
        <v>2.0</v>
      </c>
      <c r="D7" s="37"/>
      <c r="E7" s="47"/>
      <c r="F7" s="44"/>
      <c r="G7" s="44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6"/>
      <c r="BE7" s="43"/>
      <c r="BF7" s="44"/>
      <c r="BG7" s="44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</row>
    <row r="8" ht="17.25" customHeight="1" outlineLevel="1">
      <c r="A8" s="33">
        <v>43221.0</v>
      </c>
      <c r="B8" s="34" t="s">
        <v>31</v>
      </c>
      <c r="C8" s="36">
        <v>1.0</v>
      </c>
      <c r="D8" s="46"/>
      <c r="E8" s="48"/>
      <c r="F8" s="49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6"/>
      <c r="BE8" s="43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</row>
    <row r="9" ht="17.25" customHeight="1" outlineLevel="1">
      <c r="A9" s="50">
        <v>43252.0</v>
      </c>
      <c r="B9" s="51" t="s">
        <v>32</v>
      </c>
      <c r="C9" s="53">
        <v>1.0</v>
      </c>
      <c r="D9" s="54"/>
      <c r="E9" s="48"/>
      <c r="F9" s="55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4"/>
      <c r="BE9" s="57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</row>
    <row r="10" ht="21.0" customHeight="1">
      <c r="A10" s="25">
        <v>2.0</v>
      </c>
      <c r="B10" s="58" t="s">
        <v>33</v>
      </c>
      <c r="C10" s="28"/>
      <c r="D10" s="29"/>
      <c r="E10" s="30"/>
      <c r="F10" s="31"/>
      <c r="G10" s="31"/>
      <c r="H10" s="29"/>
      <c r="I10" s="32"/>
      <c r="J10" s="29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29"/>
      <c r="BE10" s="30"/>
      <c r="BF10" s="31"/>
      <c r="BG10" s="31"/>
      <c r="BH10" s="29"/>
      <c r="BI10" s="32"/>
      <c r="BJ10" s="29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</row>
    <row r="11" ht="17.25" customHeight="1" outlineLevel="1">
      <c r="A11" s="33">
        <v>46024.0</v>
      </c>
      <c r="B11" s="34" t="s">
        <v>34</v>
      </c>
      <c r="C11" s="60">
        <v>1.0</v>
      </c>
      <c r="D11" s="41"/>
      <c r="E11" s="38"/>
      <c r="F11" s="39"/>
      <c r="G11" s="61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1"/>
      <c r="BE11" s="38"/>
      <c r="BF11" s="39"/>
      <c r="BG11" s="39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</row>
    <row r="12" ht="17.25" customHeight="1" outlineLevel="1">
      <c r="A12" s="33">
        <v>46055.0</v>
      </c>
      <c r="B12" s="34" t="s">
        <v>35</v>
      </c>
      <c r="C12" s="36">
        <v>50.0</v>
      </c>
      <c r="D12" s="46"/>
      <c r="E12" s="43"/>
      <c r="F12" s="44"/>
      <c r="G12" s="44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62"/>
      <c r="BE12" s="47"/>
      <c r="BF12" s="63"/>
      <c r="BG12" s="63"/>
      <c r="BH12" s="49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</row>
    <row r="13" ht="17.25" customHeight="1" outlineLevel="1">
      <c r="A13" s="33">
        <v>46083.0</v>
      </c>
      <c r="B13" s="34" t="s">
        <v>36</v>
      </c>
      <c r="C13" s="36">
        <v>50.0</v>
      </c>
      <c r="D13" s="46"/>
      <c r="E13" s="43"/>
      <c r="F13" s="44"/>
      <c r="G13" s="44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62"/>
      <c r="BE13" s="47"/>
      <c r="BF13" s="63"/>
      <c r="BG13" s="63"/>
      <c r="BH13" s="49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</row>
    <row r="14" ht="17.25" customHeight="1" outlineLevel="1">
      <c r="A14" s="33">
        <v>43192.0</v>
      </c>
      <c r="B14" s="34" t="s">
        <v>37</v>
      </c>
      <c r="C14" s="36">
        <v>50.0</v>
      </c>
      <c r="D14" s="46"/>
      <c r="E14" s="43"/>
      <c r="F14" s="44"/>
      <c r="G14" s="44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62"/>
      <c r="BE14" s="47"/>
      <c r="BF14" s="63"/>
      <c r="BG14" s="63"/>
      <c r="BH14" s="49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</row>
    <row r="15" ht="21.0" customHeight="1">
      <c r="A15" s="25">
        <v>3.0</v>
      </c>
      <c r="B15" s="26" t="s">
        <v>38</v>
      </c>
      <c r="C15" s="28"/>
      <c r="D15" s="29"/>
      <c r="E15" s="30"/>
      <c r="F15" s="31"/>
      <c r="G15" s="31"/>
      <c r="H15" s="29"/>
      <c r="I15" s="32"/>
      <c r="J15" s="29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29"/>
      <c r="BE15" s="30"/>
      <c r="BF15" s="31"/>
      <c r="BG15" s="31"/>
      <c r="BH15" s="29"/>
      <c r="BI15" s="32"/>
      <c r="BJ15" s="29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</row>
    <row r="16" ht="17.25" customHeight="1" outlineLevel="1">
      <c r="A16" s="64">
        <v>46025.0</v>
      </c>
      <c r="B16" s="34" t="s">
        <v>39</v>
      </c>
      <c r="C16" s="36">
        <v>1.0</v>
      </c>
      <c r="D16" s="41"/>
      <c r="E16" s="38"/>
      <c r="F16" s="39"/>
      <c r="G16" s="78"/>
      <c r="H16" s="74"/>
      <c r="I16" s="74"/>
      <c r="J16" s="74"/>
      <c r="K16" s="74"/>
      <c r="L16" s="79"/>
      <c r="M16" s="79"/>
      <c r="N16" s="79"/>
      <c r="O16" s="79"/>
      <c r="P16" s="65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80"/>
      <c r="BE16" s="81"/>
      <c r="BF16" s="78"/>
      <c r="BG16" s="78"/>
      <c r="BH16" s="74"/>
      <c r="BI16" s="74"/>
      <c r="BJ16" s="74"/>
      <c r="BK16" s="74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79"/>
      <c r="CY16" s="79"/>
      <c r="CZ16" s="79"/>
      <c r="DA16" s="79"/>
      <c r="DB16" s="79"/>
      <c r="DC16" s="79"/>
    </row>
    <row r="17" ht="17.25" customHeight="1" outlineLevel="1">
      <c r="A17" s="64">
        <v>46056.0</v>
      </c>
      <c r="B17" s="34" t="s">
        <v>40</v>
      </c>
      <c r="C17" s="36">
        <v>1.0</v>
      </c>
      <c r="D17" s="41"/>
      <c r="E17" s="38"/>
      <c r="F17" s="39"/>
      <c r="G17" s="78"/>
      <c r="H17" s="74"/>
      <c r="I17" s="74"/>
      <c r="J17" s="74"/>
      <c r="K17" s="74"/>
      <c r="L17" s="79"/>
      <c r="M17" s="79"/>
      <c r="N17" s="79"/>
      <c r="O17" s="79"/>
      <c r="P17" s="65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80"/>
      <c r="BE17" s="81"/>
      <c r="BF17" s="78"/>
      <c r="BG17" s="78"/>
      <c r="BH17" s="74"/>
      <c r="BI17" s="74"/>
      <c r="BJ17" s="74"/>
      <c r="BK17" s="74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9"/>
      <c r="CZ17" s="79"/>
      <c r="DA17" s="79"/>
      <c r="DB17" s="79"/>
      <c r="DC17" s="79"/>
    </row>
    <row r="18" ht="17.25" customHeight="1" outlineLevel="1">
      <c r="A18" s="64">
        <v>46084.0</v>
      </c>
      <c r="B18" s="34" t="s">
        <v>41</v>
      </c>
      <c r="C18" s="36">
        <v>50.0</v>
      </c>
      <c r="D18" s="46"/>
      <c r="E18" s="43"/>
      <c r="F18" s="44"/>
      <c r="G18" s="82"/>
      <c r="H18" s="74"/>
      <c r="I18" s="74"/>
      <c r="J18" s="74"/>
      <c r="K18" s="74"/>
      <c r="L18" s="74"/>
      <c r="M18" s="74"/>
      <c r="N18" s="74"/>
      <c r="O18" s="74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62"/>
      <c r="BE18" s="47"/>
      <c r="BF18" s="63"/>
      <c r="BG18" s="63"/>
      <c r="BH18" s="49"/>
      <c r="BI18" s="49"/>
      <c r="BJ18" s="49"/>
      <c r="BK18" s="49"/>
      <c r="BL18" s="49"/>
      <c r="BM18" s="49"/>
      <c r="BN18" s="49"/>
      <c r="BO18" s="49"/>
      <c r="BP18" s="49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74"/>
      <c r="CU18" s="74"/>
      <c r="CV18" s="74"/>
      <c r="CW18" s="74"/>
      <c r="CX18" s="74"/>
      <c r="CY18" s="74"/>
      <c r="CZ18" s="74"/>
      <c r="DA18" s="74"/>
      <c r="DB18" s="74"/>
      <c r="DC18" s="74"/>
    </row>
    <row r="19" ht="21.0" customHeight="1">
      <c r="A19" s="25">
        <v>4.0</v>
      </c>
      <c r="B19" s="26" t="s">
        <v>42</v>
      </c>
      <c r="C19" s="28"/>
      <c r="D19" s="29"/>
      <c r="E19" s="30"/>
      <c r="F19" s="31"/>
      <c r="G19" s="31"/>
      <c r="H19" s="29"/>
      <c r="I19" s="32"/>
      <c r="J19" s="29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29"/>
      <c r="BE19" s="30"/>
      <c r="BF19" s="31"/>
      <c r="BG19" s="31"/>
      <c r="BH19" s="29"/>
      <c r="BI19" s="32"/>
      <c r="BJ19" s="29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</row>
    <row r="20" ht="17.25" customHeight="1" outlineLevel="1">
      <c r="A20" s="33">
        <v>43104.0</v>
      </c>
      <c r="B20" s="34" t="s">
        <v>43</v>
      </c>
      <c r="C20" s="36">
        <v>1.0</v>
      </c>
      <c r="D20" s="41"/>
      <c r="E20" s="38"/>
      <c r="F20" s="39"/>
      <c r="G20" s="78"/>
      <c r="H20" s="79"/>
      <c r="I20" s="79"/>
      <c r="J20" s="79"/>
      <c r="K20" s="79"/>
      <c r="L20" s="40"/>
      <c r="M20" s="40"/>
      <c r="N20" s="40"/>
      <c r="O20" s="40"/>
      <c r="P20" s="40"/>
      <c r="Q20" s="65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1"/>
      <c r="BE20" s="38"/>
      <c r="BF20" s="39"/>
      <c r="BG20" s="78"/>
      <c r="BH20" s="79"/>
      <c r="BI20" s="79"/>
      <c r="BJ20" s="79"/>
      <c r="BK20" s="79"/>
      <c r="BL20" s="79"/>
      <c r="BM20" s="79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</row>
    <row r="21" ht="21.0" customHeight="1">
      <c r="A21" s="25">
        <v>5.0</v>
      </c>
      <c r="B21" s="26" t="s">
        <v>44</v>
      </c>
      <c r="C21" s="28"/>
      <c r="D21" s="29"/>
      <c r="E21" s="30"/>
      <c r="F21" s="31"/>
      <c r="G21" s="31"/>
      <c r="H21" s="29"/>
      <c r="I21" s="32"/>
      <c r="J21" s="29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29"/>
      <c r="BE21" s="30"/>
      <c r="BF21" s="31"/>
      <c r="BG21" s="31"/>
      <c r="BH21" s="29"/>
      <c r="BI21" s="32"/>
      <c r="BJ21" s="29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</row>
    <row r="22" ht="17.25" customHeight="1" outlineLevel="1">
      <c r="A22" s="33">
        <v>46027.0</v>
      </c>
      <c r="B22" s="34" t="s">
        <v>45</v>
      </c>
      <c r="C22" s="36">
        <v>25.0</v>
      </c>
      <c r="D22" s="41"/>
      <c r="E22" s="38"/>
      <c r="F22" s="39"/>
      <c r="G22" s="3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86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1"/>
      <c r="BE22" s="38"/>
      <c r="BF22" s="39"/>
      <c r="BG22" s="39"/>
      <c r="BH22" s="40"/>
      <c r="BI22" s="40"/>
      <c r="BJ22" s="79"/>
      <c r="BK22" s="79"/>
      <c r="BL22" s="79"/>
      <c r="BM22" s="79"/>
      <c r="BN22" s="79"/>
      <c r="BO22" s="79"/>
      <c r="BP22" s="79"/>
      <c r="BQ22" s="79"/>
      <c r="BR22" s="79"/>
      <c r="BS22" s="79"/>
      <c r="BT22" s="79"/>
      <c r="BU22" s="79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</row>
    <row r="23" ht="17.25" customHeight="1" outlineLevel="1">
      <c r="A23" s="66">
        <v>46058.0</v>
      </c>
      <c r="B23" s="67" t="s">
        <v>46</v>
      </c>
      <c r="C23" s="68">
        <v>50.0</v>
      </c>
      <c r="D23" s="69"/>
      <c r="E23" s="70"/>
      <c r="F23" s="71"/>
      <c r="G23" s="71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87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88"/>
      <c r="BE23" s="89"/>
      <c r="BF23" s="90"/>
      <c r="BG23" s="90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85"/>
      <c r="BT23" s="85"/>
      <c r="BU23" s="85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72"/>
      <c r="CM23" s="72"/>
      <c r="CN23" s="72"/>
      <c r="CO23" s="72"/>
      <c r="CP23" s="72"/>
      <c r="CQ23" s="72"/>
      <c r="CR23" s="72"/>
      <c r="CS23" s="72"/>
      <c r="CT23" s="72"/>
      <c r="CU23" s="72"/>
      <c r="CV23" s="72"/>
      <c r="CW23" s="72"/>
      <c r="CX23" s="72"/>
      <c r="CY23" s="72"/>
      <c r="CZ23" s="72"/>
      <c r="DA23" s="72"/>
      <c r="DB23" s="72"/>
      <c r="DC23" s="72"/>
    </row>
    <row r="24" ht="17.25" customHeight="1" outlineLevel="1">
      <c r="A24" s="66">
        <v>46086.0</v>
      </c>
      <c r="B24" s="67" t="s">
        <v>47</v>
      </c>
      <c r="C24" s="68">
        <v>25.0</v>
      </c>
      <c r="D24" s="69"/>
      <c r="E24" s="70"/>
      <c r="F24" s="71"/>
      <c r="G24" s="71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87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69"/>
      <c r="BE24" s="70"/>
      <c r="BF24" s="71"/>
      <c r="BG24" s="71"/>
      <c r="BH24" s="72"/>
      <c r="BI24" s="72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2"/>
      <c r="CW24" s="72"/>
      <c r="CX24" s="72"/>
      <c r="CY24" s="72"/>
      <c r="CZ24" s="72"/>
      <c r="DA24" s="72"/>
      <c r="DB24" s="72"/>
      <c r="DC24" s="72"/>
    </row>
    <row r="25" ht="21.0" customHeight="1">
      <c r="A25" s="25">
        <v>6.0</v>
      </c>
      <c r="B25" s="26" t="s">
        <v>48</v>
      </c>
      <c r="C25" s="28"/>
      <c r="D25" s="29"/>
      <c r="E25" s="30"/>
      <c r="F25" s="31"/>
      <c r="G25" s="31"/>
      <c r="H25" s="29"/>
      <c r="I25" s="32"/>
      <c r="J25" s="29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29"/>
      <c r="BE25" s="30"/>
      <c r="BF25" s="31"/>
      <c r="BG25" s="31"/>
      <c r="BH25" s="29"/>
      <c r="BI25" s="32"/>
      <c r="BJ25" s="29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</row>
    <row r="26" ht="17.25" customHeight="1" outlineLevel="1">
      <c r="A26" s="33">
        <v>46028.0</v>
      </c>
      <c r="B26" s="34" t="s">
        <v>49</v>
      </c>
      <c r="C26" s="36">
        <v>25.0</v>
      </c>
      <c r="D26" s="41"/>
      <c r="E26" s="38"/>
      <c r="F26" s="39"/>
      <c r="G26" s="39"/>
      <c r="H26" s="40"/>
      <c r="I26" s="40"/>
      <c r="J26" s="40"/>
      <c r="K26" s="40"/>
      <c r="L26" s="40"/>
      <c r="M26" s="40"/>
      <c r="N26" s="40"/>
      <c r="O26" s="40"/>
      <c r="P26" s="79"/>
      <c r="Q26" s="79"/>
      <c r="R26" s="79"/>
      <c r="S26" s="79"/>
      <c r="T26" s="79"/>
      <c r="U26" s="79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40"/>
      <c r="AV26" s="40"/>
      <c r="AW26" s="40"/>
      <c r="AX26" s="40"/>
      <c r="AY26" s="40"/>
      <c r="AZ26" s="40"/>
      <c r="BA26" s="40"/>
      <c r="BB26" s="40"/>
      <c r="BC26" s="40"/>
      <c r="BD26" s="41"/>
      <c r="BE26" s="38"/>
      <c r="BF26" s="39"/>
      <c r="BG26" s="39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79"/>
      <c r="BS26" s="79"/>
      <c r="BT26" s="79"/>
      <c r="BU26" s="79"/>
      <c r="BV26" s="79"/>
      <c r="BW26" s="79"/>
      <c r="BX26" s="79"/>
      <c r="BY26" s="79"/>
      <c r="BZ26" s="79"/>
      <c r="CA26" s="79"/>
      <c r="CB26" s="79"/>
      <c r="CC26" s="79"/>
      <c r="CD26" s="79"/>
      <c r="CE26" s="79"/>
      <c r="CF26" s="79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</row>
    <row r="27" ht="17.25" customHeight="1" outlineLevel="1">
      <c r="A27" s="33">
        <v>46059.0</v>
      </c>
      <c r="B27" s="34" t="s">
        <v>50</v>
      </c>
      <c r="C27" s="36">
        <v>25.0</v>
      </c>
      <c r="D27" s="41"/>
      <c r="E27" s="38"/>
      <c r="F27" s="39"/>
      <c r="G27" s="39"/>
      <c r="H27" s="40"/>
      <c r="I27" s="40"/>
      <c r="J27" s="40"/>
      <c r="K27" s="40"/>
      <c r="L27" s="40"/>
      <c r="M27" s="40"/>
      <c r="N27" s="40"/>
      <c r="O27" s="40"/>
      <c r="P27" s="79"/>
      <c r="Q27" s="79"/>
      <c r="R27" s="79"/>
      <c r="S27" s="79"/>
      <c r="T27" s="79"/>
      <c r="U27" s="79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40"/>
      <c r="AV27" s="40"/>
      <c r="AW27" s="40"/>
      <c r="AX27" s="40"/>
      <c r="AY27" s="40"/>
      <c r="AZ27" s="40"/>
      <c r="BA27" s="40"/>
      <c r="BB27" s="40"/>
      <c r="BC27" s="40"/>
      <c r="BD27" s="41"/>
      <c r="BE27" s="38"/>
      <c r="BF27" s="39"/>
      <c r="BG27" s="39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79"/>
      <c r="BS27" s="79"/>
      <c r="BT27" s="79"/>
      <c r="BU27" s="79"/>
      <c r="BV27" s="79"/>
      <c r="BW27" s="79"/>
      <c r="BX27" s="79"/>
      <c r="BY27" s="79"/>
      <c r="BZ27" s="79"/>
      <c r="CA27" s="79"/>
      <c r="CB27" s="79"/>
      <c r="CC27" s="79"/>
      <c r="CD27" s="79"/>
      <c r="CE27" s="79"/>
      <c r="CF27" s="79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</row>
    <row r="28" ht="21.0" customHeight="1">
      <c r="A28" s="25">
        <v>7.0</v>
      </c>
      <c r="B28" s="26" t="s">
        <v>51</v>
      </c>
      <c r="C28" s="28"/>
      <c r="D28" s="29"/>
      <c r="E28" s="30"/>
      <c r="F28" s="31"/>
      <c r="G28" s="31"/>
      <c r="H28" s="29"/>
      <c r="I28" s="32"/>
      <c r="J28" s="29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29"/>
      <c r="BE28" s="30"/>
      <c r="BF28" s="31"/>
      <c r="BG28" s="31"/>
      <c r="BH28" s="29"/>
      <c r="BI28" s="32"/>
      <c r="BJ28" s="29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</row>
    <row r="29" ht="17.25" customHeight="1" outlineLevel="1">
      <c r="A29" s="42" t="s">
        <v>52</v>
      </c>
      <c r="B29" s="34" t="s">
        <v>53</v>
      </c>
      <c r="C29" s="36">
        <v>2.0</v>
      </c>
      <c r="D29" s="46"/>
      <c r="E29" s="43"/>
      <c r="F29" s="82"/>
      <c r="G29" s="82"/>
      <c r="H29" s="82"/>
      <c r="I29" s="74"/>
      <c r="J29" s="74"/>
      <c r="K29" s="74"/>
      <c r="L29" s="74"/>
      <c r="M29" s="74"/>
      <c r="N29" s="74"/>
      <c r="O29" s="74"/>
      <c r="P29" s="45"/>
      <c r="Q29" s="45"/>
      <c r="R29" s="45"/>
      <c r="S29" s="45"/>
      <c r="T29" s="45"/>
      <c r="U29" s="45"/>
      <c r="V29" s="45"/>
      <c r="W29" s="74"/>
      <c r="X29" s="74"/>
      <c r="Y29" s="74"/>
      <c r="Z29" s="74"/>
      <c r="AA29" s="74"/>
      <c r="AB29" s="74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6"/>
      <c r="BE29" s="43"/>
      <c r="BF29" s="44"/>
      <c r="BG29" s="44"/>
      <c r="BH29" s="44"/>
      <c r="BI29" s="49"/>
      <c r="BJ29" s="49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74"/>
      <c r="CE29" s="74"/>
      <c r="CF29" s="74"/>
      <c r="CG29" s="74"/>
      <c r="CH29" s="74"/>
      <c r="CI29" s="74"/>
      <c r="CJ29" s="74"/>
      <c r="CK29" s="74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</row>
    <row r="30" ht="17.25" customHeight="1" outlineLevel="1">
      <c r="A30" s="42" t="s">
        <v>54</v>
      </c>
      <c r="B30" s="34" t="s">
        <v>55</v>
      </c>
      <c r="C30" s="36">
        <v>4.0</v>
      </c>
      <c r="D30" s="46"/>
      <c r="E30" s="43"/>
      <c r="F30" s="82"/>
      <c r="G30" s="82"/>
      <c r="H30" s="82"/>
      <c r="I30" s="74"/>
      <c r="J30" s="74"/>
      <c r="K30" s="74"/>
      <c r="L30" s="74"/>
      <c r="M30" s="74"/>
      <c r="N30" s="74"/>
      <c r="O30" s="74"/>
      <c r="P30" s="45"/>
      <c r="Q30" s="45"/>
      <c r="R30" s="45"/>
      <c r="S30" s="45"/>
      <c r="T30" s="45"/>
      <c r="U30" s="45"/>
      <c r="V30" s="45"/>
      <c r="W30" s="74"/>
      <c r="X30" s="74"/>
      <c r="Y30" s="74"/>
      <c r="Z30" s="74"/>
      <c r="AA30" s="75"/>
      <c r="AB30" s="74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6"/>
      <c r="BE30" s="43"/>
      <c r="BF30" s="44"/>
      <c r="BG30" s="44"/>
      <c r="BH30" s="44"/>
      <c r="BI30" s="45"/>
      <c r="BJ30" s="45"/>
      <c r="BK30" s="49"/>
      <c r="BL30" s="49"/>
      <c r="BM30" s="49"/>
      <c r="BN30" s="49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74"/>
      <c r="CE30" s="74"/>
      <c r="CF30" s="91"/>
      <c r="CG30" s="91"/>
      <c r="CH30" s="91"/>
      <c r="CI30" s="91"/>
      <c r="CJ30" s="74"/>
      <c r="CK30" s="74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</row>
    <row r="31" ht="21.0" customHeight="1">
      <c r="A31" s="25">
        <v>8.0</v>
      </c>
      <c r="B31" s="26" t="s">
        <v>56</v>
      </c>
      <c r="C31" s="28"/>
      <c r="D31" s="29"/>
      <c r="E31" s="30"/>
      <c r="F31" s="31"/>
      <c r="G31" s="31"/>
      <c r="H31" s="29"/>
      <c r="I31" s="32"/>
      <c r="J31" s="29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29"/>
      <c r="BE31" s="30"/>
      <c r="BF31" s="31"/>
      <c r="BG31" s="31"/>
      <c r="BH31" s="29"/>
      <c r="BI31" s="32"/>
      <c r="BJ31" s="29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</row>
    <row r="32" ht="17.25" customHeight="1" outlineLevel="1">
      <c r="A32" s="42" t="s">
        <v>57</v>
      </c>
      <c r="B32" s="34" t="s">
        <v>58</v>
      </c>
      <c r="C32" s="36">
        <v>2.0</v>
      </c>
      <c r="D32" s="46"/>
      <c r="E32" s="43"/>
      <c r="F32" s="44"/>
      <c r="G32" s="82"/>
      <c r="H32" s="82"/>
      <c r="I32" s="74"/>
      <c r="J32" s="74"/>
      <c r="K32" s="74"/>
      <c r="L32" s="74"/>
      <c r="M32" s="74"/>
      <c r="N32" s="74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6"/>
      <c r="BE32" s="43"/>
      <c r="BF32" s="44"/>
      <c r="BG32" s="44"/>
      <c r="BH32" s="44"/>
      <c r="BI32" s="49"/>
      <c r="BJ32" s="49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74"/>
      <c r="CC32" s="74"/>
      <c r="CD32" s="74"/>
      <c r="CE32" s="74"/>
      <c r="CF32" s="74"/>
      <c r="CG32" s="74"/>
      <c r="CH32" s="74"/>
      <c r="CI32" s="74"/>
      <c r="CJ32" s="74"/>
      <c r="CK32" s="74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CZ32" s="45"/>
      <c r="DA32" s="45"/>
      <c r="DB32" s="45"/>
      <c r="DC32" s="45"/>
    </row>
    <row r="33" ht="17.25" customHeight="1" outlineLevel="1">
      <c r="A33" s="42" t="s">
        <v>59</v>
      </c>
      <c r="B33" s="34" t="s">
        <v>60</v>
      </c>
      <c r="C33" s="36">
        <v>4.0</v>
      </c>
      <c r="D33" s="46"/>
      <c r="E33" s="43"/>
      <c r="F33" s="44"/>
      <c r="G33" s="82"/>
      <c r="H33" s="82"/>
      <c r="I33" s="74"/>
      <c r="J33" s="74"/>
      <c r="K33" s="74"/>
      <c r="L33" s="74"/>
      <c r="M33" s="74"/>
      <c r="N33" s="74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6"/>
      <c r="BE33" s="43"/>
      <c r="BF33" s="44"/>
      <c r="BG33" s="44"/>
      <c r="BH33" s="44"/>
      <c r="BI33" s="45"/>
      <c r="BJ33" s="45"/>
      <c r="BK33" s="49"/>
      <c r="BL33" s="49"/>
      <c r="BM33" s="49"/>
      <c r="BN33" s="49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74"/>
      <c r="CC33" s="74"/>
      <c r="CD33" s="74"/>
      <c r="CE33" s="74"/>
      <c r="CF33" s="74"/>
      <c r="CG33" s="74"/>
      <c r="CH33" s="74"/>
      <c r="CI33" s="74"/>
      <c r="CJ33" s="74"/>
      <c r="CK33" s="74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</row>
    <row r="34" ht="17.25" customHeight="1" outlineLevel="1">
      <c r="A34" s="42" t="s">
        <v>61</v>
      </c>
      <c r="B34" s="34" t="s">
        <v>62</v>
      </c>
      <c r="C34" s="36">
        <v>4.0</v>
      </c>
      <c r="D34" s="46"/>
      <c r="E34" s="43"/>
      <c r="F34" s="44"/>
      <c r="G34" s="82"/>
      <c r="H34" s="82"/>
      <c r="I34" s="74"/>
      <c r="J34" s="74"/>
      <c r="K34" s="74"/>
      <c r="L34" s="74"/>
      <c r="M34" s="74"/>
      <c r="N34" s="74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6"/>
      <c r="BE34" s="43"/>
      <c r="BF34" s="44"/>
      <c r="BG34" s="44"/>
      <c r="BH34" s="44"/>
      <c r="BI34" s="45"/>
      <c r="BJ34" s="45"/>
      <c r="BK34" s="49"/>
      <c r="BL34" s="49"/>
      <c r="BM34" s="49"/>
      <c r="BN34" s="49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74"/>
      <c r="CC34" s="74"/>
      <c r="CD34" s="74"/>
      <c r="CE34" s="74"/>
      <c r="CF34" s="74"/>
      <c r="CG34" s="74"/>
      <c r="CH34" s="74"/>
      <c r="CI34" s="74"/>
      <c r="CJ34" s="74"/>
      <c r="CK34" s="74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</row>
    <row r="35" ht="21.0" customHeight="1">
      <c r="A35" s="25">
        <v>9.0</v>
      </c>
      <c r="B35" s="26" t="s">
        <v>63</v>
      </c>
      <c r="C35" s="28"/>
      <c r="D35" s="29"/>
      <c r="E35" s="30"/>
      <c r="F35" s="31"/>
      <c r="G35" s="31"/>
      <c r="H35" s="29"/>
      <c r="I35" s="32"/>
      <c r="J35" s="29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29"/>
      <c r="BE35" s="30"/>
      <c r="BF35" s="31"/>
      <c r="BG35" s="31"/>
      <c r="BH35" s="29"/>
      <c r="BI35" s="32"/>
      <c r="BJ35" s="29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</row>
    <row r="36" ht="17.25" customHeight="1" outlineLevel="1">
      <c r="A36" s="42" t="s">
        <v>64</v>
      </c>
      <c r="B36" s="34" t="s">
        <v>65</v>
      </c>
      <c r="C36" s="36">
        <v>4.0</v>
      </c>
      <c r="D36" s="46"/>
      <c r="E36" s="43"/>
      <c r="F36" s="44"/>
      <c r="G36" s="44"/>
      <c r="H36" s="44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6"/>
      <c r="BE36" s="43"/>
      <c r="BF36" s="44"/>
      <c r="BG36" s="44"/>
      <c r="BH36" s="82"/>
      <c r="BI36" s="74"/>
      <c r="BJ36" s="74"/>
      <c r="BK36" s="74"/>
      <c r="BL36" s="74"/>
      <c r="BM36" s="74"/>
      <c r="BN36" s="45"/>
      <c r="BO36" s="49"/>
      <c r="BP36" s="49"/>
      <c r="BQ36" s="49"/>
      <c r="BR36" s="49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  <c r="CF36" s="45"/>
      <c r="CG36" s="45"/>
      <c r="CH36" s="74"/>
      <c r="CI36" s="74"/>
      <c r="CJ36" s="74"/>
      <c r="CK36" s="74"/>
      <c r="CL36" s="74"/>
      <c r="CM36" s="74"/>
      <c r="CN36" s="74"/>
      <c r="CO36" s="45"/>
      <c r="CP36" s="45"/>
      <c r="CQ36" s="45"/>
      <c r="CR36" s="45"/>
      <c r="CS36" s="45"/>
      <c r="CT36" s="45"/>
      <c r="CU36" s="45"/>
      <c r="CV36" s="45"/>
      <c r="CW36" s="45"/>
      <c r="CX36" s="45"/>
      <c r="CY36" s="45"/>
      <c r="CZ36" s="45"/>
      <c r="DA36" s="45"/>
      <c r="DB36" s="45"/>
      <c r="DC36" s="45"/>
    </row>
    <row r="37" ht="17.25" customHeight="1" outlineLevel="1">
      <c r="A37" s="42" t="s">
        <v>66</v>
      </c>
      <c r="B37" s="34" t="s">
        <v>67</v>
      </c>
      <c r="C37" s="36">
        <v>4.0</v>
      </c>
      <c r="D37" s="46"/>
      <c r="E37" s="43"/>
      <c r="F37" s="44"/>
      <c r="G37" s="44"/>
      <c r="H37" s="44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6"/>
      <c r="BE37" s="43"/>
      <c r="BF37" s="44"/>
      <c r="BG37" s="44"/>
      <c r="BH37" s="82"/>
      <c r="BI37" s="74"/>
      <c r="BJ37" s="74"/>
      <c r="BK37" s="74"/>
      <c r="BL37" s="74"/>
      <c r="BM37" s="74"/>
      <c r="BN37" s="45"/>
      <c r="BO37" s="49"/>
      <c r="BP37" s="49"/>
      <c r="BQ37" s="49"/>
      <c r="BR37" s="49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74"/>
      <c r="CI37" s="74"/>
      <c r="CJ37" s="74"/>
      <c r="CK37" s="74"/>
      <c r="CL37" s="74"/>
      <c r="CM37" s="74"/>
      <c r="CN37" s="74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</row>
    <row r="38" ht="21.0" customHeight="1">
      <c r="A38" s="25">
        <v>10.0</v>
      </c>
      <c r="B38" s="26" t="s">
        <v>68</v>
      </c>
      <c r="C38" s="28"/>
      <c r="D38" s="29"/>
      <c r="E38" s="30"/>
      <c r="F38" s="31"/>
      <c r="G38" s="31"/>
      <c r="H38" s="29"/>
      <c r="I38" s="32"/>
      <c r="J38" s="29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29"/>
      <c r="BE38" s="30"/>
      <c r="BF38" s="31"/>
      <c r="BG38" s="31"/>
      <c r="BH38" s="29"/>
      <c r="BI38" s="32"/>
      <c r="BJ38" s="29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</row>
    <row r="39" ht="17.25" customHeight="1" outlineLevel="1">
      <c r="A39" s="42" t="s">
        <v>69</v>
      </c>
      <c r="B39" s="34" t="s">
        <v>70</v>
      </c>
      <c r="C39" s="36">
        <v>6.0</v>
      </c>
      <c r="D39" s="46"/>
      <c r="E39" s="43"/>
      <c r="F39" s="44"/>
      <c r="G39" s="44"/>
      <c r="H39" s="44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6"/>
      <c r="BE39" s="43"/>
      <c r="BF39" s="44"/>
      <c r="BG39" s="44"/>
      <c r="BH39" s="44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9"/>
      <c r="BT39" s="49"/>
      <c r="BU39" s="49"/>
      <c r="BV39" s="49"/>
      <c r="BW39" s="49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74"/>
      <c r="CM39" s="74"/>
      <c r="CN39" s="74"/>
      <c r="CO39" s="74"/>
      <c r="CP39" s="74"/>
      <c r="CQ39" s="74"/>
      <c r="CR39" s="74"/>
      <c r="CS39" s="74"/>
      <c r="CT39" s="74"/>
      <c r="CU39" s="74"/>
      <c r="CV39" s="45"/>
      <c r="CW39" s="45"/>
      <c r="CX39" s="45"/>
      <c r="CY39" s="45"/>
      <c r="CZ39" s="45"/>
      <c r="DA39" s="45"/>
      <c r="DB39" s="45"/>
      <c r="DC39" s="45"/>
    </row>
    <row r="40" ht="17.25" customHeight="1" outlineLevel="1">
      <c r="A40" s="42" t="s">
        <v>71</v>
      </c>
      <c r="B40" s="34" t="s">
        <v>72</v>
      </c>
      <c r="C40" s="36">
        <v>6.0</v>
      </c>
      <c r="D40" s="46"/>
      <c r="E40" s="43"/>
      <c r="F40" s="44"/>
      <c r="G40" s="44"/>
      <c r="H40" s="44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6"/>
      <c r="BE40" s="43"/>
      <c r="BF40" s="44"/>
      <c r="BG40" s="44"/>
      <c r="BH40" s="44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9"/>
      <c r="BT40" s="49"/>
      <c r="BU40" s="49"/>
      <c r="BV40" s="49"/>
      <c r="BW40" s="49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74"/>
      <c r="CM40" s="74"/>
      <c r="CN40" s="74"/>
      <c r="CO40" s="74"/>
      <c r="CP40" s="74"/>
      <c r="CQ40" s="74"/>
      <c r="CR40" s="74"/>
      <c r="CS40" s="74"/>
      <c r="CT40" s="74"/>
      <c r="CU40" s="74"/>
      <c r="CV40" s="45"/>
      <c r="CW40" s="45"/>
      <c r="CX40" s="45"/>
      <c r="CY40" s="45"/>
      <c r="CZ40" s="45"/>
      <c r="DA40" s="45"/>
      <c r="DB40" s="45"/>
      <c r="DC40" s="45"/>
    </row>
    <row r="41" ht="21.0" customHeight="1">
      <c r="A41" s="25">
        <v>11.0</v>
      </c>
      <c r="B41" s="26" t="s">
        <v>73</v>
      </c>
      <c r="C41" s="28"/>
      <c r="D41" s="29"/>
      <c r="E41" s="30"/>
      <c r="F41" s="31"/>
      <c r="G41" s="31"/>
      <c r="H41" s="29"/>
      <c r="I41" s="32"/>
      <c r="J41" s="29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29"/>
      <c r="BE41" s="30"/>
      <c r="BF41" s="31"/>
      <c r="BG41" s="31"/>
      <c r="BH41" s="29"/>
      <c r="BI41" s="32"/>
      <c r="BJ41" s="29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</row>
    <row r="42" ht="17.25" customHeight="1" outlineLevel="1">
      <c r="A42" s="42" t="s">
        <v>74</v>
      </c>
      <c r="B42" s="34" t="s">
        <v>75</v>
      </c>
      <c r="C42" s="36">
        <v>4.0</v>
      </c>
      <c r="D42" s="46"/>
      <c r="E42" s="43"/>
      <c r="F42" s="44"/>
      <c r="G42" s="44"/>
      <c r="H42" s="44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6"/>
      <c r="BE42" s="43"/>
      <c r="BF42" s="44"/>
      <c r="BG42" s="44"/>
      <c r="BH42" s="44"/>
      <c r="BI42" s="45"/>
      <c r="BJ42" s="45"/>
      <c r="BK42" s="45"/>
      <c r="BL42" s="45"/>
      <c r="BM42" s="45"/>
      <c r="BN42" s="45"/>
      <c r="BO42" s="45"/>
      <c r="BP42" s="45"/>
      <c r="BQ42" s="45"/>
      <c r="BR42" s="74"/>
      <c r="BS42" s="74"/>
      <c r="BT42" s="74"/>
      <c r="BU42" s="74"/>
      <c r="BV42" s="74"/>
      <c r="BW42" s="74"/>
      <c r="BX42" s="49"/>
      <c r="BY42" s="49"/>
      <c r="BZ42" s="49"/>
      <c r="CA42" s="49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74"/>
      <c r="CT42" s="74"/>
      <c r="CU42" s="74"/>
      <c r="CV42" s="74"/>
      <c r="CW42" s="74"/>
      <c r="CX42" s="74"/>
      <c r="CY42" s="74"/>
      <c r="CZ42" s="74"/>
      <c r="DA42" s="74"/>
      <c r="DB42" s="74"/>
      <c r="DC42" s="45"/>
    </row>
    <row r="43" ht="17.25" customHeight="1" outlineLevel="1">
      <c r="A43" s="42" t="s">
        <v>76</v>
      </c>
      <c r="B43" s="34" t="s">
        <v>77</v>
      </c>
      <c r="C43" s="36">
        <v>4.0</v>
      </c>
      <c r="D43" s="46"/>
      <c r="E43" s="43"/>
      <c r="F43" s="44"/>
      <c r="G43" s="44"/>
      <c r="H43" s="44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6"/>
      <c r="BE43" s="43"/>
      <c r="BF43" s="44"/>
      <c r="BG43" s="44"/>
      <c r="BH43" s="44"/>
      <c r="BI43" s="45"/>
      <c r="BJ43" s="45"/>
      <c r="BK43" s="45"/>
      <c r="BL43" s="45"/>
      <c r="BM43" s="45"/>
      <c r="BN43" s="45"/>
      <c r="BO43" s="45"/>
      <c r="BP43" s="45"/>
      <c r="BQ43" s="45"/>
      <c r="BR43" s="74"/>
      <c r="BS43" s="74"/>
      <c r="BT43" s="74"/>
      <c r="BU43" s="74"/>
      <c r="BV43" s="74"/>
      <c r="BW43" s="74"/>
      <c r="BX43" s="74"/>
      <c r="BY43" s="74"/>
      <c r="BZ43" s="74"/>
      <c r="CA43" s="74"/>
      <c r="CB43" s="49"/>
      <c r="CC43" s="49"/>
      <c r="CD43" s="49"/>
      <c r="CE43" s="49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74"/>
      <c r="CT43" s="74"/>
      <c r="CU43" s="74"/>
      <c r="CV43" s="74"/>
      <c r="CW43" s="74"/>
      <c r="CX43" s="74"/>
      <c r="CY43" s="74"/>
      <c r="CZ43" s="74"/>
      <c r="DA43" s="74"/>
      <c r="DB43" s="74"/>
      <c r="DC43" s="45"/>
    </row>
  </sheetData>
  <mergeCells count="35">
    <mergeCell ref="BZ2:CC2"/>
    <mergeCell ref="CD2:CG2"/>
    <mergeCell ref="AU2:AY2"/>
    <mergeCell ref="AZ2:BC2"/>
    <mergeCell ref="BD2:BG2"/>
    <mergeCell ref="BH2:BK2"/>
    <mergeCell ref="BL2:BP2"/>
    <mergeCell ref="BQ2:BT2"/>
    <mergeCell ref="BU2:BY2"/>
    <mergeCell ref="BD1:BP1"/>
    <mergeCell ref="BQ1:CC1"/>
    <mergeCell ref="CD1:CP1"/>
    <mergeCell ref="CQ1:DC1"/>
    <mergeCell ref="D2:G2"/>
    <mergeCell ref="H2:K2"/>
    <mergeCell ref="L2:P2"/>
    <mergeCell ref="Q2:T2"/>
    <mergeCell ref="U2:X2"/>
    <mergeCell ref="Y2:AC2"/>
    <mergeCell ref="AD2:AG2"/>
    <mergeCell ref="AH2:AL2"/>
    <mergeCell ref="AM2:AP2"/>
    <mergeCell ref="AQ2:AT2"/>
    <mergeCell ref="CH2:CL2"/>
    <mergeCell ref="CM2:CP2"/>
    <mergeCell ref="CQ2:CT2"/>
    <mergeCell ref="CU2:CY2"/>
    <mergeCell ref="CZ2:DC2"/>
    <mergeCell ref="A1:A2"/>
    <mergeCell ref="B1:B2"/>
    <mergeCell ref="C1:C2"/>
    <mergeCell ref="D1:P1"/>
    <mergeCell ref="Q1:AC1"/>
    <mergeCell ref="AD1:AP1"/>
    <mergeCell ref="AQ1:BC1"/>
  </mergeCells>
  <printOptions gridLines="1"/>
  <pageMargins bottom="0.75" footer="0.0" header="0.0" left="0.25" right="0.25" top="0.75"/>
  <pageSetup paperSize="9" cellComments="atEnd" orientation="landscape" pageOrder="overThenDown"/>
  <drawing r:id="rId1"/>
</worksheet>
</file>